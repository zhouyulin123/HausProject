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b6fdc0e96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主表" sheetId="1" r:id="R458f7faf6a584303"/>
    <x:sheet xmlns:r="http://schemas.openxmlformats.org/officeDocument/2006/relationships" name="字段说明" sheetId="2" r:id="Rf748a00930424315"/>
    <x:sheet xmlns:r="http://schemas.openxmlformats.org/officeDocument/2006/relationships" name="质量检查" sheetId="3" r:id="Rce9f50797cd9466d"/>
  </x:sheets>
</x:workbook>
</file>

<file path=xl/comments1.xml><?xml version="1.0" encoding="utf-8"?>
<x:comments xmlns:x="http://schemas.openxmlformats.org/spreadsheetml/2006/main">
  <x:authors>
    <x:author>tc={6E2FF9E0-B32B-41E3-853B-E7D86DD7472B}</x:author>
    <x:author>tc={019BFD50-8A81-4E19-852A-F6A24D0934AE}</x:author>
  </x:authors>
  <x:commentList>
    <x:comment ref="G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填写内部参考零售价，必须为正整数；最终成交价、配送和安装费用请另行确认。</x:t>
        </x:r>
      </x:text>
    </x:comment>
    <x:comment ref="P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只有名称、材料、价格和尺寸经过人工确认后，才改为“已复核”。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¥&quot;#,##0"/>
    <x:numFmt numFmtId="201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6B7280"/>
      <x:name val="Carlito"/>
    </x:font>
    <x:font>
      <x:b/>
      <x:sz val="16"/>
      <x:color rgb="FFFFFFFF"/>
      <x:name val="Carlito"/>
    </x:font>
    <x:font>
      <x:b/>
      <x:sz val="11"/>
      <x:color rgb="FF37474F"/>
      <x:name val="Carlito"/>
    </x:font>
    <x:font>
      <x:b/>
      <x:sz val="14"/>
      <x:color rgb="FF111827"/>
      <x:name val="Carlito"/>
    </x:font>
    <x:font>
      <x:sz val="11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F3F4F6"/>
      </x:patternFill>
    </x:fill>
    <x:fill>
      <x:patternFill patternType="solid">
        <x:fgColor rgb="FF37474F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546E7A"/>
      </x:patternFill>
    </x:fill>
    <x:fill>
      <x:patternFill patternType="solid">
        <x:fgColor rgb="FFFFF7ED"/>
      </x:patternFill>
    </x:fill>
  </x:fills>
  <x:borders count="8">
    <x:border/>
    <x:border>
      <x:left style="medium">
        <x:color rgb="FF263238"/>
      </x:left>
      <x:top style="medium">
        <x:color rgb="FF263238"/>
      </x:top>
      <x:bottom style="medium">
        <x:color rgb="FF263238"/>
      </x:bottom>
    </x:border>
    <x:border>
      <x:top style="medium">
        <x:color rgb="FF263238"/>
      </x:top>
      <x:bottom style="medium">
        <x:color rgb="FF263238"/>
      </x:bottom>
    </x:border>
    <x:border>
      <x:right style="medium">
        <x:color rgb="FF263238"/>
      </x:right>
      <x:top style="medium">
        <x:color rgb="FF263238"/>
      </x:top>
      <x:bottom style="medium">
        <x:color rgb="FF26323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right"/>
    </x:xf>
    <x:xf numFmtId="200" fontId="5" fillId="6" borderId="0" xfId="0" applyNumberFormat="1" applyFont="1" applyFill="1" applyBorder="1" applyAlignment="1">
      <x:alignment horizontal="right"/>
    </x:xf>
    <x:xf numFmtId="0" fontId="4" fillId="5" borderId="7" xfId="0" applyNumberFormat="1" applyFont="1" applyFill="1" applyBorder="1"/>
    <x:xf numFmtId="0" fontId="5" fillId="6" borderId="7" xfId="0" applyNumberFormat="1" applyFont="1" applyFill="1" applyBorder="1" applyAlignment="1">
      <x:alignment horizontal="right"/>
    </x:xf>
    <x:xf numFmtId="200" fontId="5" fillId="6" borderId="7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0" fontId="0" fillId="7" borderId="7" xfId="0" applyNumberFormat="1" applyFont="1" applyFill="1" applyBorder="1"/>
    <x:xf numFmtId="0" fontId="1" fillId="7" borderId="7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ca60202904f74" /><Relationship Type="http://schemas.openxmlformats.org/officeDocument/2006/relationships/theme" Target="/xl/theme/theme1.xml" Id="R8ebcad1e2e2c4eda" /><Relationship Type="http://schemas.openxmlformats.org/officeDocument/2006/relationships/sharedStrings" Target="/xl/sharedStrings.xml" Id="Rf9c0cef555be44d7" /><Relationship Type="http://schemas.openxmlformats.org/officeDocument/2006/relationships/worksheet" Target="/xl/worksheets/sheet1.xml" Id="R458f7faf6a584303" /><Relationship Type="http://schemas.openxmlformats.org/officeDocument/2006/relationships/worksheet" Target="/xl/worksheets/sheet2.xml" Id="Rf748a00930424315" /><Relationship Type="http://schemas.openxmlformats.org/officeDocument/2006/relationships/worksheet" Target="/xl/worksheets/sheet3.xml" Id="Rce9f50797cd9466d" /><Relationship Type="http://schemas.microsoft.com/office/2017/10/relationships/person" Target="/xl/persons/person.xml" Id="R6f7562b3ffcb48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c0720beb7841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各空间商品数量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商品数</c:v>
          </c:tx>
          <c:cat>
            <c:strRef>
              <c:f>'质量检查'!$A$12:$A$15</c:f>
              <c:strCache>
                <c:ptCount val="0"/>
              </c:strCache>
            </c:strRef>
          </c:cat>
          <c:val>
            <c:numRef>
              <c:f>'质量检查'!$B$12:$B$15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c0720beb78413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0BCCF170-7157-4B63-BA88-41EFA0198D81}"/>
</xltc:personList>
</file>

<file path=xl/tables/table1.xml><?xml version="1.0" encoding="utf-8"?>
<x:table xmlns:x="http://schemas.openxmlformats.org/spreadsheetml/2006/main" id="1" name="ProductCatalogTable" displayName="ProductCatalogTable" ref="A1:T41" headerRowCount="1" totalsRowCount="0" totalsRowShown="0">
  <x:autoFilter ref="A1:T41"/>
  <x:tableColumns count="20">
    <x:tableColumn id="1" name="sku"/>
    <x:tableColumn id="2" name="名称"/>
    <x:tableColumn id="3" name="类别"/>
    <x:tableColumn id="4" name="空间"/>
    <x:tableColumn id="5" name="风格"/>
    <x:tableColumn id="6" name="材质"/>
    <x:tableColumn id="7" name="参考价"/>
    <x:tableColumn id="8" name="价格上限"/>
    <x:tableColumn id="9" name="尺寸"/>
    <x:tableColumn id="10" name="宽(mm)"/>
    <x:tableColumn id="11" name="深(mm)"/>
    <x:tableColumn id="12" name="高(mm)"/>
    <x:tableColumn id="13" name="卖点"/>
    <x:tableColumn id="14" name="替代选择"/>
    <x:tableColumn id="15" name="启用状态"/>
    <x:tableColumn id="16" name="人工复核状态"/>
    <x:tableColumn id="17" name="价格备注"/>
    <x:tableColumn id="18" name="数据来源"/>
    <x:tableColumn id="19" name="3D状态"/>
    <x:tableColumn id="20" name="完整性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FieldGuideTable" displayName="CatalogFieldGuideTable" ref="A1:E19" headerRowCount="1" totalsRowCount="0" totalsRowShown="0">
  <x:tableColumns count="5">
    <x:tableColumn id="1" name="字段"/>
    <x:tableColumn id="2" name="必填"/>
    <x:tableColumn id="3" name="用途"/>
    <x:tableColumn id="4" name="示例"/>
    <x:tableColumn id="5" name="回写规则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1" dT="2026-08-30T08:47:47.855" personId="{0BCCF170-7157-4B63-BA88-41EFA0198D81}" id="{6E2FF9E0-B32B-41E3-853B-E7D86DD7472B}">
    <xltc:text>填写内部参考零售价，必须为正整数；最终成交价、配送和安装费用请另行确认。</xltc:text>
  </xltc:threadedComment>
  <xltc:threadedComment ref="P1" dT="2026-08-30T08:47:47.856" personId="{0BCCF170-7157-4B63-BA88-41EFA0198D81}" id="{019BFD50-8A81-4E19-852A-F6A24D0934AE}">
    <xltc:text>只有名称、材料、价格和尺寸经过人工确认后，才改为“已复核”。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4f203435d6e4dc1" /><Relationship Type="http://schemas.openxmlformats.org/officeDocument/2006/relationships/vmlDrawing" Target="/xl/drawings/vmldrawing.vml" Id="R7bb39894ec85439b" /><Relationship Type="http://schemas.microsoft.com/office/2017/10/relationships/threadedComment" Target="/xl/threadedcomments/threadedcomment.xml" Id="R52f7d028559041db" /><Relationship Type="http://schemas.openxmlformats.org/officeDocument/2006/relationships/table" Target="/xl/tables/table1.xml" Id="R137c53981bc14c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d8db68fd0c47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7d32a782ead4a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10" hidden="0" customWidth="1"/>
    <x:col min="5" max="5" width="16" hidden="0" customWidth="1"/>
    <x:col min="6" max="6" width="28" hidden="0" customWidth="1"/>
    <x:col min="7" max="7" width="12" hidden="0" customWidth="1"/>
    <x:col min="8" max="8" width="12" hidden="0" customWidth="1"/>
    <x:col min="9" max="9" width="30" hidden="0" customWidth="1"/>
    <x:col min="10" max="10" width="11" hidden="0" customWidth="1"/>
    <x:col min="11" max="11" width="11" hidden="0" customWidth="1"/>
    <x:col min="12" max="12" width="11" hidden="0" customWidth="1"/>
    <x:col min="13" max="13" width="32" hidden="0" customWidth="1"/>
    <x:col min="14" max="14" width="30" hidden="0" customWidth="1"/>
    <x:col min="15" max="15" width="11" hidden="0" customWidth="1"/>
    <x:col min="16" max="16" width="14" hidden="0" customWidth="1"/>
    <x:col min="17" max="17" width="34" hidden="0" customWidth="1"/>
    <x:col min="18" max="18" width="18" hidden="0" customWidth="1"/>
    <x:col min="19" max="19" width="12" hidden="0" customWidth="1"/>
    <x:col min="20" max="20" width="14" hidden="0" customWidth="1"/>
  </x:cols>
  <x:sheetData>
    <x:row r="1" ht="34" customHeight="1">
      <x:c r="A1" s="12" t="str">
        <x:v>sku</x:v>
      </x:c>
      <x:c r="B1" s="13" t="str">
        <x:v>名称</x:v>
      </x:c>
      <x:c r="C1" s="13" t="str">
        <x:v>类别</x:v>
      </x:c>
      <x:c r="D1" s="13" t="str">
        <x:v>空间</x:v>
      </x:c>
      <x:c r="E1" s="13" t="str">
        <x:v>风格</x:v>
      </x:c>
      <x:c r="F1" s="13" t="str">
        <x:v>材质</x:v>
      </x:c>
      <x:c r="G1" s="13" t="str">
        <x:v>参考价</x:v>
      </x:c>
      <x:c r="H1" s="13" t="str">
        <x:v>价格上限</x:v>
      </x:c>
      <x:c r="I1" s="13" t="str">
        <x:v>尺寸</x:v>
      </x:c>
      <x:c r="J1" s="13" t="str">
        <x:v>宽(mm)</x:v>
      </x:c>
      <x:c r="K1" s="13" t="str">
        <x:v>深(mm)</x:v>
      </x:c>
      <x:c r="L1" s="13" t="str">
        <x:v>高(mm)</x:v>
      </x:c>
      <x:c r="M1" s="13" t="str">
        <x:v>卖点</x:v>
      </x:c>
      <x:c r="N1" s="13" t="str">
        <x:v>替代选择</x:v>
      </x:c>
      <x:c r="O1" s="13" t="str">
        <x:v>启用状态</x:v>
      </x:c>
      <x:c r="P1" s="13" t="str">
        <x:v>人工复核状态</x:v>
      </x:c>
      <x:c r="Q1" s="13" t="str">
        <x:v>价格备注</x:v>
      </x:c>
      <x:c r="R1" s="13" t="str">
        <x:v>数据来源</x:v>
      </x:c>
      <x:c r="S1" s="13" t="str">
        <x:v>3D状态</x:v>
      </x:c>
      <x:c r="T1" s="14" t="str">
        <x:v>完整性检查</x:v>
      </x:c>
    </x:row>
    <x:row r="2" ht="36" customHeight="1">
      <x:c r="A2" s="18" t="str">
        <x:v>SZ-001</x:v>
      </x:c>
      <x:c r="B2" s="18" t="str">
        <x:v>白蜡木电动升降书桌</x:v>
      </x:c>
      <x:c r="C2" s="18" t="str">
        <x:v>书桌</x:v>
      </x:c>
      <x:c r="D2" s="18" t="str">
        <x:v>书房</x:v>
      </x:c>
      <x:c r="E2" s="18" t="str">
        <x:v>现代简约</x:v>
      </x:c>
      <x:c r="F2" s="27" t="str">
        <x:v>白蜡木桌板 + 双电机架</x:v>
      </x:c>
      <x:c r="G2" s="21" t="n">
        <x:v>2680</x:v>
      </x:c>
      <x:c r="H2" s="21" t="n">
        <x:v>3980</x:v>
      </x:c>
      <x:c r="I2" s="27" t="str">
        <x:v>宽1600×深750×升降高750-1250mm</x:v>
      </x:c>
      <x:c r="J2" s="24" t="n">
        <x:v>1600</x:v>
      </x:c>
      <x:c r="K2" s="24" t="n">
        <x:v>750</x:v>
      </x:c>
      <x:c r="L2" s="24" t="n">
        <x:v>1250</x:v>
      </x:c>
      <x:c r="M2" s="27" t="str">
        <x:v>可站可坐护腰，双电机三档记忆</x:v>
      </x:c>
      <x:c r="N2" s="27" t="str">
        <x:v>固定实木长桌（预算减 1000）</x:v>
      </x:c>
      <x:c r="O2" s="18" t="str">
        <x:v>是</x:v>
      </x:c>
      <x:c r="P2" s="18" t="str">
        <x:v>待复核</x:v>
      </x:c>
      <x:c r="Q2" s="27" t="str">
        <x:v>内部参考零售价，待人工复核；不含配送、安装和选配费用。</x:v>
      </x:c>
      <x:c r="R2" s="33" t="str">
        <x:v>merchant_draft</x:v>
      </x:c>
      <x:c r="S2" s="33" t="str">
        <x:v>ready</x:v>
      </x:c>
      <x:c r="T2" s="18" t="str">
        <x:f>IF(OR(B2="",C2="",D2="",E2="",F2="",G2&lt;=0,I2="",J2&lt;=0,K2&lt;=0,L2&lt;=0),"缺字段",IF(P2&lt;&gt;"已复核","待复核","通过"))</x:f>
        <x:v>待复核</x:v>
      </x:c>
    </x:row>
    <x:row r="3" ht="36" customHeight="1">
      <x:c r="A3" s="19" t="str">
        <x:v>YZ-001</x:v>
      </x:c>
      <x:c r="B3" s="19" t="str">
        <x:v>人体工学椅</x:v>
      </x:c>
      <x:c r="C3" s="19" t="str">
        <x:v>书椅</x:v>
      </x:c>
      <x:c r="D3" s="19" t="str">
        <x:v>书房</x:v>
      </x:c>
      <x:c r="E3" s="19" t="str">
        <x:v>现代简约</x:v>
      </x:c>
      <x:c r="F3" s="28" t="str">
        <x:v>网布 + 铝合金脚</x:v>
      </x:c>
      <x:c r="G3" s="22" t="n">
        <x:v>1380</x:v>
      </x:c>
      <x:c r="H3" s="22" t="n">
        <x:v>2280</x:v>
      </x:c>
      <x:c r="I3" s="28" t="str">
        <x:v>宽680×深650×高1120mm</x:v>
      </x:c>
      <x:c r="J3" s="25" t="n">
        <x:v>680</x:v>
      </x:c>
      <x:c r="K3" s="25" t="n">
        <x:v>650</x:v>
      </x:c>
      <x:c r="L3" s="25" t="n">
        <x:v>1120</x:v>
      </x:c>
      <x:c r="M3" s="28" t="str">
        <x:v>居家办公久坐必备，腰托扶手全可调</x:v>
      </x:c>
      <x:c r="N3" s="28" t="str">
        <x:v>实木软包书椅（颜值优先）</x:v>
      </x:c>
      <x:c r="O3" s="19" t="str">
        <x:v>是</x:v>
      </x:c>
      <x:c r="P3" s="19" t="str">
        <x:v>待复核</x:v>
      </x:c>
      <x:c r="Q3" s="28" t="str">
        <x:v>内部参考零售价，待人工复核；不含配送、安装和选配费用。</x:v>
      </x:c>
      <x:c r="R3" s="34" t="str">
        <x:v>merchant_draft</x:v>
      </x:c>
      <x:c r="S3" s="34" t="str">
        <x:v>ready</x:v>
      </x:c>
      <x:c r="T3" s="19" t="str">
        <x:f>IF(OR(B3="",C3="",D3="",E3="",F3="",G3&lt;=0,I3="",J3&lt;=0,K3&lt;=0,L3&lt;=0),"缺字段",IF(P3&lt;&gt;"已复核","待复核","通过"))</x:f>
        <x:v>待复核</x:v>
      </x:c>
    </x:row>
    <x:row r="4" ht="36" customHeight="1">
      <x:c r="A4" s="19" t="str">
        <x:v>DT-002</x:v>
      </x:c>
      <x:c r="B4" s="19" t="str">
        <x:v>羊毛圈绒书房地毯</x:v>
      </x:c>
      <x:c r="C4" s="19" t="str">
        <x:v>地毯</x:v>
      </x:c>
      <x:c r="D4" s="19" t="str">
        <x:v>书房</x:v>
      </x:c>
      <x:c r="E4" s="19" t="str">
        <x:v>日式风</x:v>
      </x:c>
      <x:c r="F4" s="28" t="str">
        <x:v>新西兰羊毛</x:v>
      </x:c>
      <x:c r="G4" s="22" t="n">
        <x:v>1480</x:v>
      </x:c>
      <x:c r="H4" s="22"/>
      <x:c r="I4" s="28" t="str">
        <x:v>长2000×宽1400×厚13mm</x:v>
      </x:c>
      <x:c r="J4" s="25" t="n">
        <x:v>2000</x:v>
      </x:c>
      <x:c r="K4" s="25" t="n">
        <x:v>1400</x:v>
      </x:c>
      <x:c r="L4" s="25" t="n">
        <x:v>13</x:v>
      </x:c>
      <x:c r="M4" s="28" t="str">
        <x:v>圈绒耐压耐磨，冬天脚感温暖</x:v>
      </x:c>
      <x:c r="N4" s="28" t="str">
        <x:v>剑麻编织毯（更透气）</x:v>
      </x:c>
      <x:c r="O4" s="19" t="str">
        <x:v>是</x:v>
      </x:c>
      <x:c r="P4" s="19" t="str">
        <x:v>待复核</x:v>
      </x:c>
      <x:c r="Q4" s="28" t="str">
        <x:v>内部参考零售价，待人工复核；不含配送、安装和选配费用。</x:v>
      </x:c>
      <x:c r="R4" s="34" t="str">
        <x:v>merchant_draft</x:v>
      </x:c>
      <x:c r="S4" s="34" t="str">
        <x:v>ready</x:v>
      </x:c>
      <x:c r="T4" s="19" t="str">
        <x:f>IF(OR(B4="",C4="",D4="",E4="",F4="",G4&lt;=0,I4="",J4&lt;=0,K4&lt;=0,L4&lt;=0),"缺字段",IF(P4&lt;&gt;"已复核","待复核","通过"))</x:f>
        <x:v>待复核</x:v>
      </x:c>
    </x:row>
    <x:row r="5" ht="36" customHeight="1">
      <x:c r="A5" s="19" t="str">
        <x:v>SJ-001</x:v>
      </x:c>
      <x:c r="B5" s="19" t="str">
        <x:v>白橡木开放书架</x:v>
      </x:c>
      <x:c r="C5" s="19" t="str">
        <x:v>柜子</x:v>
      </x:c>
      <x:c r="D5" s="19" t="str">
        <x:v>书房</x:v>
      </x:c>
      <x:c r="E5" s="19" t="str">
        <x:v>原木风</x:v>
      </x:c>
      <x:c r="F5" s="28" t="str">
        <x:v>白橡木框架</x:v>
      </x:c>
      <x:c r="G5" s="22" t="n">
        <x:v>1980</x:v>
      </x:c>
      <x:c r="H5" s="22"/>
      <x:c r="I5" s="28" t="str">
        <x:v>宽1000×深320×高1850mm</x:v>
      </x:c>
      <x:c r="J5" s="25" t="n">
        <x:v>1000</x:v>
      </x:c>
      <x:c r="K5" s="25" t="n">
        <x:v>320</x:v>
      </x:c>
      <x:c r="L5" s="25" t="n">
        <x:v>1850</x:v>
      </x:c>
      <x:c r="M5" s="28" t="str">
        <x:v>开放格随手取阅，背板加固不晃</x:v>
      </x:c>
      <x:c r="N5" s="28" t="str">
        <x:v>玻璃门书柜（防尘）</x:v>
      </x:c>
      <x:c r="O5" s="19" t="str">
        <x:v>是</x:v>
      </x:c>
      <x:c r="P5" s="19" t="str">
        <x:v>待复核</x:v>
      </x:c>
      <x:c r="Q5" s="28" t="str">
        <x:v>内部参考零售价，待人工复核；不含配送、安装和选配费用。</x:v>
      </x:c>
      <x:c r="R5" s="34" t="str">
        <x:v>merchant_draft</x:v>
      </x:c>
      <x:c r="S5" s="34" t="str">
        <x:v>ready</x:v>
      </x:c>
      <x:c r="T5" s="19" t="str">
        <x:f>IF(OR(B5="",C5="",D5="",E5="",F5="",G5&lt;=0,I5="",J5&lt;=0,K5&lt;=0,L5&lt;=0),"缺字段",IF(P5&lt;&gt;"已复核","待复核","通过"))</x:f>
        <x:v>待复核</x:v>
      </x:c>
    </x:row>
    <x:row r="6" ht="36" customHeight="1">
      <x:c r="A6" s="19" t="str">
        <x:v>CH-001</x:v>
      </x:c>
      <x:c r="B6" s="19" t="str">
        <x:v>白橡木悬浮床架</x:v>
      </x:c>
      <x:c r="C6" s="19" t="str">
        <x:v>床</x:v>
      </x:c>
      <x:c r="D6" s="19" t="str">
        <x:v>卧室</x:v>
      </x:c>
      <x:c r="E6" s="19" t="str">
        <x:v>日式风</x:v>
      </x:c>
      <x:c r="F6" s="28" t="str">
        <x:v>白橡木</x:v>
      </x:c>
      <x:c r="G6" s="22" t="n">
        <x:v>3680</x:v>
      </x:c>
      <x:c r="H6" s="22" t="n">
        <x:v>5280</x:v>
      </x:c>
      <x:c r="I6" s="28" t="str">
        <x:v>外宽1960×外长2120×床头高920mm</x:v>
      </x:c>
      <x:c r="J6" s="25" t="n">
        <x:v>1960</x:v>
      </x:c>
      <x:c r="K6" s="25" t="n">
        <x:v>2120</x:v>
      </x:c>
      <x:c r="L6" s="25" t="n">
        <x:v>920</x:v>
      </x:c>
      <x:c r="M6" s="28" t="str">
        <x:v>低矮悬浮设计放大层高，FAS 级实木</x:v>
      </x:c>
      <x:c r="N6" s="28" t="str">
        <x:v>软包箱体床（收纳更强）</x:v>
      </x:c>
      <x:c r="O6" s="19" t="str">
        <x:v>是</x:v>
      </x:c>
      <x:c r="P6" s="19" t="str">
        <x:v>待复核</x:v>
      </x:c>
      <x:c r="Q6" s="28" t="str">
        <x:v>内部参考零售价，待人工复核；不含配送、安装和选配费用。</x:v>
      </x:c>
      <x:c r="R6" s="34" t="str">
        <x:v>merchant_draft</x:v>
      </x:c>
      <x:c r="S6" s="34" t="str">
        <x:v>ready</x:v>
      </x:c>
      <x:c r="T6" s="19" t="str">
        <x:f>IF(OR(B6="",C6="",D6="",E6="",F6="",G6&lt;=0,I6="",J6&lt;=0,K6&lt;=0,L6&lt;=0),"缺字段",IF(P6&lt;&gt;"已复核","待复核","通过"))</x:f>
        <x:v>待复核</x:v>
      </x:c>
    </x:row>
    <x:row r="7" ht="36" customHeight="1">
      <x:c r="A7" s="19" t="str">
        <x:v>CH-002</x:v>
      </x:c>
      <x:c r="B7" s="19" t="str">
        <x:v>奶油风软包床</x:v>
      </x:c>
      <x:c r="C7" s="19" t="str">
        <x:v>床</x:v>
      </x:c>
      <x:c r="D7" s="19" t="str">
        <x:v>卧室</x:v>
      </x:c>
      <x:c r="E7" s="19" t="str">
        <x:v>奶油风</x:v>
      </x:c>
      <x:c r="F7" s="28" t="str">
        <x:v>猫抓布软包 + 松木框架</x:v>
      </x:c>
      <x:c r="G7" s="22" t="n">
        <x:v>2980</x:v>
      </x:c>
      <x:c r="H7" s="22" t="n">
        <x:v>4380</x:v>
      </x:c>
      <x:c r="I7" s="28" t="str">
        <x:v>外宽1980×外长2200×床头高1030mm</x:v>
      </x:c>
      <x:c r="J7" s="25" t="n">
        <x:v>1980</x:v>
      </x:c>
      <x:c r="K7" s="25" t="n">
        <x:v>2200</x:v>
      </x:c>
      <x:c r="L7" s="25" t="n">
        <x:v>1030</x:v>
      </x:c>
      <x:c r="M7" s="28" t="str">
        <x:v>床头软包倚靠舒适，圆润无锐角</x:v>
      </x:c>
      <x:c r="N7" s="28" t="str">
        <x:v>白橡木悬浮床（更透气简洁）</x:v>
      </x:c>
      <x:c r="O7" s="19" t="str">
        <x:v>是</x:v>
      </x:c>
      <x:c r="P7" s="19" t="str">
        <x:v>待复核</x:v>
      </x:c>
      <x:c r="Q7" s="28" t="str">
        <x:v>内部参考零售价，待人工复核；不含配送、安装和选配费用。</x:v>
      </x:c>
      <x:c r="R7" s="34" t="str">
        <x:v>merchant_draft</x:v>
      </x:c>
      <x:c r="S7" s="34" t="str">
        <x:v>ready</x:v>
      </x:c>
      <x:c r="T7" s="19" t="str">
        <x:f>IF(OR(B7="",C7="",D7="",E7="",F7="",G7&lt;=0,I7="",J7&lt;=0,K7&lt;=0,L7&lt;=0),"缺字段",IF(P7&lt;&gt;"已复核","待复核","通过"))</x:f>
        <x:v>待复核</x:v>
      </x:c>
    </x:row>
    <x:row r="8" ht="36" customHeight="1">
      <x:c r="A8" s="19" t="str">
        <x:v>HAUS-BED-004</x:v>
      </x:c>
      <x:c r="B8" s="19" t="str">
        <x:v>白橡木悬浮双人床</x:v>
      </x:c>
      <x:c r="C8" s="19" t="str">
        <x:v>床</x:v>
      </x:c>
      <x:c r="D8" s="19" t="str">
        <x:v>卧室</x:v>
      </x:c>
      <x:c r="E8" s="19" t="str">
        <x:v>日式原木风</x:v>
      </x:c>
      <x:c r="F8" s="28" t="str">
        <x:v>北美白橡木木蜡油</x:v>
      </x:c>
      <x:c r="G8" s="22" t="n">
        <x:v>3600</x:v>
      </x:c>
      <x:c r="H8" s="22" t="n">
        <x:v>5200</x:v>
      </x:c>
      <x:c r="I8" s="28" t="str">
        <x:v>外宽1960×外长2120×床头高920mm</x:v>
      </x:c>
      <x:c r="J8" s="25" t="n">
        <x:v>1960</x:v>
      </x:c>
      <x:c r="K8" s="25" t="n">
        <x:v>2120</x:v>
      </x:c>
      <x:c r="L8" s="25" t="n">
        <x:v>920</x:v>
      </x:c>
      <x:c r="M8" s="28" t="str">
        <x:v>真实尺寸参数建模，北美白橡木木蜡油材质</x:v>
      </x:c>
      <x:c r="N8" s="28" t="str">
        <x:v>可选同类型其他参数款</x:v>
      </x:c>
      <x:c r="O8" s="19" t="str">
        <x:v>是</x:v>
      </x:c>
      <x:c r="P8" s="19" t="str">
        <x:v>待复核</x:v>
      </x:c>
      <x:c r="Q8" s="28" t="str">
        <x:v>内部参考零售价，待人工复核；不含配送、安装和选配费用。</x:v>
      </x:c>
      <x:c r="R8" s="34" t="str">
        <x:v>merchant_draft</x:v>
      </x:c>
      <x:c r="S8" s="34" t="str">
        <x:v>missing</x:v>
      </x:c>
      <x:c r="T8" s="19" t="str">
        <x:f>IF(OR(B8="",C8="",D8="",E8="",F8="",G8&lt;=0,I8="",J8&lt;=0,K8&lt;=0,L8&lt;=0),"缺字段",IF(P8&lt;&gt;"已复核","待复核","通过"))</x:f>
        <x:v>待复核</x:v>
      </x:c>
    </x:row>
    <x:row r="9" ht="36" customHeight="1">
      <x:c r="A9" s="19" t="str">
        <x:v>HAUS-BED-005</x:v>
      </x:c>
      <x:c r="B9" s="19" t="str">
        <x:v>奶油布艺软包床</x:v>
      </x:c>
      <x:c r="C9" s="19" t="str">
        <x:v>床</x:v>
      </x:c>
      <x:c r="D9" s="19" t="str">
        <x:v>卧室</x:v>
      </x:c>
      <x:c r="E9" s="19" t="str">
        <x:v>奶油风</x:v>
      </x:c>
      <x:c r="F9" s="28" t="str">
        <x:v>奶油米猫抓布</x:v>
      </x:c>
      <x:c r="G9" s="22" t="n">
        <x:v>3000</x:v>
      </x:c>
      <x:c r="H9" s="22" t="n">
        <x:v>4500</x:v>
      </x:c>
      <x:c r="I9" s="28" t="str">
        <x:v>外宽1980×外长2200×床头高1040mm</x:v>
      </x:c>
      <x:c r="J9" s="25" t="n">
        <x:v>1980</x:v>
      </x:c>
      <x:c r="K9" s="25" t="n">
        <x:v>2200</x:v>
      </x:c>
      <x:c r="L9" s="25" t="n">
        <x:v>1040</x:v>
      </x:c>
      <x:c r="M9" s="28" t="str">
        <x:v>真实尺寸参数建模，奶油米猫抓布材质</x:v>
      </x:c>
      <x:c r="N9" s="28" t="str">
        <x:v>可选同类型其他参数款</x:v>
      </x:c>
      <x:c r="O9" s="19" t="str">
        <x:v>是</x:v>
      </x:c>
      <x:c r="P9" s="19" t="str">
        <x:v>待复核</x:v>
      </x:c>
      <x:c r="Q9" s="28" t="str">
        <x:v>内部参考零售价，待人工复核；不含配送、安装和选配费用。</x:v>
      </x:c>
      <x:c r="R9" s="34" t="str">
        <x:v>merchant_draft</x:v>
      </x:c>
      <x:c r="S9" s="34" t="str">
        <x:v>missing</x:v>
      </x:c>
      <x:c r="T9" s="19" t="str">
        <x:f>IF(OR(B9="",C9="",D9="",E9="",F9="",G9&lt;=0,I9="",J9&lt;=0,K9&lt;=0,L9&lt;=0),"缺字段",IF(P9&lt;&gt;"已复核","待复核","通过"))</x:f>
        <x:v>待复核</x:v>
      </x:c>
    </x:row>
    <x:row r="10" ht="36" customHeight="1">
      <x:c r="A10" s="19" t="str">
        <x:v>HAUS-BED-006</x:v>
      </x:c>
      <x:c r="B10" s="19" t="str">
        <x:v>胡桃木皮革靠背床</x:v>
      </x:c>
      <x:c r="C10" s="19" t="str">
        <x:v>床</x:v>
      </x:c>
      <x:c r="D10" s="19" t="str">
        <x:v>卧室</x:v>
      </x:c>
      <x:c r="E10" s="19" t="str">
        <x:v>中古风</x:v>
      </x:c>
      <x:c r="F10" s="28" t="str">
        <x:v>北美黑胡桃木</x:v>
      </x:c>
      <x:c r="G10" s="22" t="n">
        <x:v>5200</x:v>
      </x:c>
      <x:c r="H10" s="22" t="n">
        <x:v>7600</x:v>
      </x:c>
      <x:c r="I10" s="28" t="str">
        <x:v>外宽1940×外长2140×床头高980mm</x:v>
      </x:c>
      <x:c r="J10" s="25" t="n">
        <x:v>1940</x:v>
      </x:c>
      <x:c r="K10" s="25" t="n">
        <x:v>2140</x:v>
      </x:c>
      <x:c r="L10" s="25" t="n">
        <x:v>980</x:v>
      </x:c>
      <x:c r="M10" s="28" t="str">
        <x:v>真实尺寸参数建模，北美黑胡桃木材质</x:v>
      </x:c>
      <x:c r="N10" s="28" t="str">
        <x:v>可选同类型其他参数款</x:v>
      </x:c>
      <x:c r="O10" s="19" t="str">
        <x:v>是</x:v>
      </x:c>
      <x:c r="P10" s="19" t="str">
        <x:v>待复核</x:v>
      </x:c>
      <x:c r="Q10" s="28" t="str">
        <x:v>内部参考零售价，待人工复核；不含配送、安装和选配费用。</x:v>
      </x:c>
      <x:c r="R10" s="34" t="str">
        <x:v>merchant_draft</x:v>
      </x:c>
      <x:c r="S10" s="34" t="str">
        <x:v>missing</x:v>
      </x:c>
      <x:c r="T10" s="19" t="str">
        <x:f>IF(OR(B10="",C10="",D10="",E10="",F10="",G10&lt;=0,I10="",J10&lt;=0,K10&lt;=0,L10&lt;=0),"缺字段",IF(P10&lt;&gt;"已复核","待复核","通过"))</x:f>
        <x:v>待复核</x:v>
      </x:c>
    </x:row>
    <x:row r="11" ht="36" customHeight="1">
      <x:c r="A11" s="19" t="str">
        <x:v>HAUS-BED-007</x:v>
      </x:c>
      <x:c r="B11" s="19" t="str">
        <x:v>现代悬浮灯带储物床</x:v>
      </x:c>
      <x:c r="C11" s="19" t="str">
        <x:v>床</x:v>
      </x:c>
      <x:c r="D11" s="19" t="str">
        <x:v>卧室</x:v>
      </x:c>
      <x:c r="E11" s="19" t="str">
        <x:v>现代简约</x:v>
      </x:c>
      <x:c r="F11" s="28" t="str">
        <x:v>烟熏橡木木皮</x:v>
      </x:c>
      <x:c r="G11" s="22" t="n">
        <x:v>4600</x:v>
      </x:c>
      <x:c r="H11" s="22" t="n">
        <x:v>6800</x:v>
      </x:c>
      <x:c r="I11" s="28" t="str">
        <x:v>外宽1960×外长2180×床头高980mm</x:v>
      </x:c>
      <x:c r="J11" s="25" t="n">
        <x:v>1960</x:v>
      </x:c>
      <x:c r="K11" s="25" t="n">
        <x:v>2180</x:v>
      </x:c>
      <x:c r="L11" s="25" t="n">
        <x:v>980</x:v>
      </x:c>
      <x:c r="M11" s="28" t="str">
        <x:v>真实尺寸参数建模，烟熏橡木木皮材质</x:v>
      </x:c>
      <x:c r="N11" s="28" t="str">
        <x:v>可选同类型其他参数款</x:v>
      </x:c>
      <x:c r="O11" s="19" t="str">
        <x:v>是</x:v>
      </x:c>
      <x:c r="P11" s="19" t="str">
        <x:v>待复核</x:v>
      </x:c>
      <x:c r="Q11" s="28" t="str">
        <x:v>内部参考零售价，待人工复核；不含配送、安装和选配费用。</x:v>
      </x:c>
      <x:c r="R11" s="34" t="str">
        <x:v>merchant_draft</x:v>
      </x:c>
      <x:c r="S11" s="34" t="str">
        <x:v>missing</x:v>
      </x:c>
      <x:c r="T11" s="19" t="str">
        <x:f>IF(OR(B11="",C11="",D11="",E11="",F11="",G11&lt;=0,I11="",J11&lt;=0,K11&lt;=0,L11&lt;=0),"缺字段",IF(P11&lt;&gt;"已复核","待复核","通过"))</x:f>
        <x:v>待复核</x:v>
      </x:c>
    </x:row>
    <x:row r="12" ht="36" customHeight="1">
      <x:c r="A12" s="19" t="str">
        <x:v>CT-001</x:v>
      </x:c>
      <x:c r="B12" s="19" t="str">
        <x:v>藤编床头柜</x:v>
      </x:c>
      <x:c r="C12" s="19" t="str">
        <x:v>柜子</x:v>
      </x:c>
      <x:c r="D12" s="19" t="str">
        <x:v>卧室</x:v>
      </x:c>
      <x:c r="E12" s="19" t="str">
        <x:v>原木风</x:v>
      </x:c>
      <x:c r="F12" s="28" t="str">
        <x:v>橡胶木 + 藤编</x:v>
      </x:c>
      <x:c r="G12" s="22" t="n">
        <x:v>880</x:v>
      </x:c>
      <x:c r="H12" s="22"/>
      <x:c r="I12" s="28" t="str">
        <x:v>宽480×深390×高520mm</x:v>
      </x:c>
      <x:c r="J12" s="25" t="n">
        <x:v>480</x:v>
      </x:c>
      <x:c r="K12" s="25" t="n">
        <x:v>390</x:v>
      </x:c>
      <x:c r="L12" s="25" t="n">
        <x:v>520</x:v>
      </x:c>
      <x:c r="M12" s="28" t="str">
        <x:v>藤编门透气不闷潮，抽屉静音滑轨</x:v>
      </x:c>
      <x:c r="N12" s="28" t="str">
        <x:v>悬浮壁挂床头柜（小卧室释放地面）</x:v>
      </x:c>
      <x:c r="O12" s="19" t="str">
        <x:v>是</x:v>
      </x:c>
      <x:c r="P12" s="19" t="str">
        <x:v>待复核</x:v>
      </x:c>
      <x:c r="Q12" s="28" t="str">
        <x:v>内部参考零售价，待人工复核；不含配送、安装和选配费用。</x:v>
      </x:c>
      <x:c r="R12" s="34" t="str">
        <x:v>merchant_draft</x:v>
      </x:c>
      <x:c r="S12" s="34" t="str">
        <x:v>ready</x:v>
      </x:c>
      <x:c r="T12" s="19" t="str">
        <x:f>IF(OR(B12="",C12="",D12="",E12="",F12="",G12&lt;=0,I12="",J12&lt;=0,K12&lt;=0,L12&lt;=0),"缺字段",IF(P12&lt;&gt;"已复核","待复核","通过"))</x:f>
        <x:v>待复核</x:v>
      </x:c>
    </x:row>
    <x:row r="13" ht="36" customHeight="1">
      <x:c r="A13" s="19" t="str">
        <x:v>DG-002</x:v>
      </x:c>
      <x:c r="B13" s="19" t="str">
        <x:v>纸艺吊线床头灯（一对）</x:v>
      </x:c>
      <x:c r="C13" s="19" t="str">
        <x:v>灯具</x:v>
      </x:c>
      <x:c r="D13" s="19" t="str">
        <x:v>卧室</x:v>
      </x:c>
      <x:c r="E13" s="19" t="str">
        <x:v>日式风</x:v>
      </x:c>
      <x:c r="F13" s="28" t="str">
        <x:v>纸艺灯罩</x:v>
      </x:c>
      <x:c r="G13" s="22" t="n">
        <x:v>460</x:v>
      </x:c>
      <x:c r="H13" s="22"/>
      <x:c r="I13" s="28" t="str">
        <x:v>双灯组合宽720×深300×总高1874mm</x:v>
      </x:c>
      <x:c r="J13" s="25" t="n">
        <x:v>720</x:v>
      </x:c>
      <x:c r="K13" s="25" t="n">
        <x:v>300</x:v>
      </x:c>
      <x:c r="L13" s="25" t="n">
        <x:v>1874</x:v>
      </x:c>
      <x:c r="M13" s="28" t="str">
        <x:v>替代台灯释放床头柜台面，光线柔和助眠</x:v>
      </x:c>
      <x:c r="N13" s="28" t="str">
        <x:v>壁挂阅读灯（光线更聚焦）</x:v>
      </x:c>
      <x:c r="O13" s="19" t="str">
        <x:v>是</x:v>
      </x:c>
      <x:c r="P13" s="19" t="str">
        <x:v>待复核</x:v>
      </x:c>
      <x:c r="Q13" s="28" t="str">
        <x:v>内部参考零售价，待人工复核；不含配送、安装和选配费用。</x:v>
      </x:c>
      <x:c r="R13" s="34" t="str">
        <x:v>merchant_draft</x:v>
      </x:c>
      <x:c r="S13" s="34" t="str">
        <x:v>ready</x:v>
      </x:c>
      <x:c r="T13" s="19" t="str">
        <x:f>IF(OR(B13="",C13="",D13="",E13="",F13="",G13&lt;=0,I13="",J13&lt;=0,K13&lt;=0,L13&lt;=0),"缺字段",IF(P13&lt;&gt;"已复核","待复核","通过"))</x:f>
        <x:v>待复核</x:v>
      </x:c>
    </x:row>
    <x:row r="14" ht="36" customHeight="1">
      <x:c r="A14" s="19" t="str">
        <x:v>CL-001</x:v>
      </x:c>
      <x:c r="B14" s="19" t="str">
        <x:v>亚麻遮光窗帘</x:v>
      </x:c>
      <x:c r="C14" s="19" t="str">
        <x:v>窗帘</x:v>
      </x:c>
      <x:c r="D14" s="19" t="str">
        <x:v>卧室</x:v>
      </x:c>
      <x:c r="E14" s="19" t="str">
        <x:v>日式风</x:v>
      </x:c>
      <x:c r="F14" s="28" t="str">
        <x:v>亚麻混纺 85% 遮光</x:v>
      </x:c>
      <x:c r="G14" s="22" t="n">
        <x:v>95</x:v>
      </x:c>
      <x:c r="H14" s="22" t="n">
        <x:v>160</x:v>
      </x:c>
      <x:c r="I14" s="28" t="str">
        <x:v>展开宽3628×高2756×厚110mm</x:v>
      </x:c>
      <x:c r="J14" s="25" t="n">
        <x:v>3628</x:v>
      </x:c>
      <x:c r="K14" s="25" t="n">
        <x:v>110</x:v>
      </x:c>
      <x:c r="L14" s="25" t="n">
        <x:v>2756</x:v>
      </x:c>
      <x:c r="M14" s="28" t="str">
        <x:v>天然肌理透气感 + 达标遮光，卧室平衡之选</x:v>
      </x:c>
      <x:c r="N14" s="28" t="str">
        <x:v>雪尼尔全遮光帘（遮光 99%）</x:v>
      </x:c>
      <x:c r="O14" s="19" t="str">
        <x:v>是</x:v>
      </x:c>
      <x:c r="P14" s="19" t="str">
        <x:v>待复核</x:v>
      </x:c>
      <x:c r="Q14" s="28" t="str">
        <x:v>内部参考零售价，待人工复核；不含配送、安装和选配费用。</x:v>
      </x:c>
      <x:c r="R14" s="34" t="str">
        <x:v>merchant_draft</x:v>
      </x:c>
      <x:c r="S14" s="34" t="str">
        <x:v>missing</x:v>
      </x:c>
      <x:c r="T14" s="19" t="str">
        <x:f>IF(OR(B14="",C14="",D14="",E14="",F14="",G14&lt;=0,I14="",J14&lt;=0,K14&lt;=0,L14&lt;=0),"缺字段",IF(P14&lt;&gt;"已复核","待复核","通过"))</x:f>
        <x:v>待复核</x:v>
      </x:c>
    </x:row>
    <x:row r="15" ht="36" customHeight="1">
      <x:c r="A15" s="19" t="str">
        <x:v>DT-001</x:v>
      </x:c>
      <x:c r="B15" s="19" t="str">
        <x:v>低饱和几何短绒地毯</x:v>
      </x:c>
      <x:c r="C15" s="19" t="str">
        <x:v>地毯</x:v>
      </x:c>
      <x:c r="D15" s="19" t="str">
        <x:v>客厅</x:v>
      </x:c>
      <x:c r="E15" s="19" t="str">
        <x:v>北欧风</x:v>
      </x:c>
      <x:c r="F15" s="28" t="str">
        <x:v>混纺短绒</x:v>
      </x:c>
      <x:c r="G15" s="22" t="n">
        <x:v>990</x:v>
      </x:c>
      <x:c r="H15" s="22" t="n">
        <x:v>1690</x:v>
      </x:c>
      <x:c r="I15" s="28" t="str">
        <x:v>长2400×宽1600×厚10mm</x:v>
      </x:c>
      <x:c r="J15" s="25" t="n">
        <x:v>2400</x:v>
      </x:c>
      <x:c r="K15" s="25" t="n">
        <x:v>1600</x:v>
      </x:c>
      <x:c r="L15" s="25" t="n">
        <x:v>10</x:v>
      </x:c>
      <x:c r="M15" s="28" t="str">
        <x:v>短绒好打理，扫地机器人无压力</x:v>
      </x:c>
      <x:c r="N15" s="28" t="str">
        <x:v>羊毛平织款（质感更好需保养）</x:v>
      </x:c>
      <x:c r="O15" s="19" t="str">
        <x:v>是</x:v>
      </x:c>
      <x:c r="P15" s="19" t="str">
        <x:v>待复核</x:v>
      </x:c>
      <x:c r="Q15" s="28" t="str">
        <x:v>内部参考零售价，待人工复核；不含配送、安装和选配费用。</x:v>
      </x:c>
      <x:c r="R15" s="34" t="str">
        <x:v>merchant_draft</x:v>
      </x:c>
      <x:c r="S15" s="34" t="str">
        <x:v>ready</x:v>
      </x:c>
      <x:c r="T15" s="19" t="str">
        <x:f>IF(OR(B15="",C15="",D15="",E15="",F15="",G15&lt;=0,I15="",J15&lt;=0,K15&lt;=0,L15&lt;=0),"缺字段",IF(P15&lt;&gt;"已复核","待复核","通过"))</x:f>
        <x:v>待复核</x:v>
      </x:c>
    </x:row>
    <x:row r="16" ht="36" customHeight="1">
      <x:c r="A16" s="19" t="str">
        <x:v>HAUS-SOFA-003</x:v>
      </x:c>
      <x:c r="B16" s="19" t="str">
        <x:v>云感模块三人沙发</x:v>
      </x:c>
      <x:c r="C16" s="19" t="str">
        <x:v>沙发</x:v>
      </x:c>
      <x:c r="D16" s="19" t="str">
        <x:v>客厅</x:v>
      </x:c>
      <x:c r="E16" s="19" t="str">
        <x:v>现代奶油风</x:v>
      </x:c>
      <x:c r="F16" s="28" t="str">
        <x:v>米杏细纹科技布</x:v>
      </x:c>
      <x:c r="G16" s="22" t="n">
        <x:v>5200</x:v>
      </x:c>
      <x:c r="H16" s="22" t="n">
        <x:v>7800</x:v>
      </x:c>
      <x:c r="I16" s="28" t="str">
        <x:v>宽2360×深960×高760mm</x:v>
      </x:c>
      <x:c r="J16" s="25" t="n">
        <x:v>2360</x:v>
      </x:c>
      <x:c r="K16" s="25" t="n">
        <x:v>960</x:v>
      </x:c>
      <x:c r="L16" s="25" t="n">
        <x:v>760</x:v>
      </x:c>
      <x:c r="M16" s="28" t="str">
        <x:v>真实尺寸参数建模，米杏细纹科技布材质</x:v>
      </x:c>
      <x:c r="N16" s="28" t="str">
        <x:v>可选同类型其他参数款</x:v>
      </x:c>
      <x:c r="O16" s="19" t="str">
        <x:v>是</x:v>
      </x:c>
      <x:c r="P16" s="19" t="str">
        <x:v>待复核</x:v>
      </x:c>
      <x:c r="Q16" s="28" t="str">
        <x:v>内部参考零售价，待人工复核；不含配送、安装和选配费用。</x:v>
      </x:c>
      <x:c r="R16" s="34" t="str">
        <x:v>merchant_draft</x:v>
      </x:c>
      <x:c r="S16" s="34" t="str">
        <x:v>missing</x:v>
      </x:c>
      <x:c r="T16" s="19" t="str">
        <x:f>IF(OR(B16="",C16="",D16="",E16="",F16="",G16&lt;=0,I16="",J16&lt;=0,K16&lt;=0,L16&lt;=0),"缺字段",IF(P16&lt;&gt;"已复核","待复核","通过"))</x:f>
        <x:v>待复核</x:v>
      </x:c>
    </x:row>
    <x:row r="17" ht="36" customHeight="1">
      <x:c r="A17" s="19" t="str">
        <x:v>HAUS-SOFA-004</x:v>
      </x:c>
      <x:c r="B17" s="19" t="str">
        <x:v>胡桃木框皮布混搭沙发</x:v>
      </x:c>
      <x:c r="C17" s="19" t="str">
        <x:v>沙发</x:v>
      </x:c>
      <x:c r="D17" s="19" t="str">
        <x:v>客厅</x:v>
      </x:c>
      <x:c r="E17" s="19" t="str">
        <x:v>中古风</x:v>
      </x:c>
      <x:c r="F17" s="28" t="str">
        <x:v>北美黑胡桃木</x:v>
      </x:c>
      <x:c r="G17" s="22" t="n">
        <x:v>6800</x:v>
      </x:c>
      <x:c r="H17" s="22" t="n">
        <x:v>9800</x:v>
      </x:c>
      <x:c r="I17" s="28" t="str">
        <x:v>宽2280×深900×高790mm</x:v>
      </x:c>
      <x:c r="J17" s="25" t="n">
        <x:v>2280</x:v>
      </x:c>
      <x:c r="K17" s="25" t="n">
        <x:v>900</x:v>
      </x:c>
      <x:c r="L17" s="25" t="n">
        <x:v>790</x:v>
      </x:c>
      <x:c r="M17" s="28" t="str">
        <x:v>真实尺寸参数建模，北美黑胡桃木材质</x:v>
      </x:c>
      <x:c r="N17" s="28" t="str">
        <x:v>可选同类型其他参数款</x:v>
      </x:c>
      <x:c r="O17" s="19" t="str">
        <x:v>是</x:v>
      </x:c>
      <x:c r="P17" s="19" t="str">
        <x:v>待复核</x:v>
      </x:c>
      <x:c r="Q17" s="28" t="str">
        <x:v>内部参考零售价，待人工复核；不含配送、安装和选配费用。</x:v>
      </x:c>
      <x:c r="R17" s="34" t="str">
        <x:v>merchant_draft</x:v>
      </x:c>
      <x:c r="S17" s="34" t="str">
        <x:v>missing</x:v>
      </x:c>
      <x:c r="T17" s="19" t="str">
        <x:f>IF(OR(B17="",C17="",D17="",E17="",F17="",G17&lt;=0,I17="",J17&lt;=0,K17&lt;=0,L17&lt;=0),"缺字段",IF(P17&lt;&gt;"已复核","待复核","通过"))</x:f>
        <x:v>待复核</x:v>
      </x:c>
    </x:row>
    <x:row r="18" ht="36" customHeight="1">
      <x:c r="A18" s="19" t="str">
        <x:v>HAUS-SOFA-005</x:v>
      </x:c>
      <x:c r="B18" s="19" t="str">
        <x:v>浅灰羽绒感转角沙发</x:v>
      </x:c>
      <x:c r="C18" s="19" t="str">
        <x:v>沙发</x:v>
      </x:c>
      <x:c r="D18" s="19" t="str">
        <x:v>客厅</x:v>
      </x:c>
      <x:c r="E18" s="19" t="str">
        <x:v>现代简约</x:v>
      </x:c>
      <x:c r="F18" s="28" t="str">
        <x:v>浅灰高克重棉麻混纺</x:v>
      </x:c>
      <x:c r="G18" s="22" t="n">
        <x:v>7600</x:v>
      </x:c>
      <x:c r="H18" s="22" t="n">
        <x:v>10800</x:v>
      </x:c>
      <x:c r="I18" s="28" t="str">
        <x:v>宽2950×深1700×高780mm（右转角）</x:v>
      </x:c>
      <x:c r="J18" s="25" t="n">
        <x:v>2950</x:v>
      </x:c>
      <x:c r="K18" s="25" t="n">
        <x:v>1700</x:v>
      </x:c>
      <x:c r="L18" s="25" t="n">
        <x:v>780</x:v>
      </x:c>
      <x:c r="M18" s="28" t="str">
        <x:v>真实尺寸参数建模，浅灰高克重棉麻混纺材质</x:v>
      </x:c>
      <x:c r="N18" s="28" t="str">
        <x:v>可选同类型其他参数款</x:v>
      </x:c>
      <x:c r="O18" s="19" t="str">
        <x:v>是</x:v>
      </x:c>
      <x:c r="P18" s="19" t="str">
        <x:v>待复核</x:v>
      </x:c>
      <x:c r="Q18" s="28" t="str">
        <x:v>内部参考零售价，待人工复核；不含配送、安装和选配费用。</x:v>
      </x:c>
      <x:c r="R18" s="34" t="str">
        <x:v>merchant_draft</x:v>
      </x:c>
      <x:c r="S18" s="34" t="str">
        <x:v>missing</x:v>
      </x:c>
      <x:c r="T18" s="19" t="str">
        <x:f>IF(OR(B18="",C18="",D18="",E18="",F18="",G18&lt;=0,I18="",J18&lt;=0,K18&lt;=0,L18&lt;=0),"缺字段",IF(P18&lt;&gt;"已复核","待复核","通过"))</x:f>
        <x:v>待复核</x:v>
      </x:c>
    </x:row>
    <x:row r="19" ht="36" customHeight="1">
      <x:c r="A19" s="19" t="str">
        <x:v>HAUS-SOFA-006</x:v>
      </x:c>
      <x:c r="B19" s="19" t="str">
        <x:v>原木框双人休闲沙发</x:v>
      </x:c>
      <x:c r="C19" s="19" t="str">
        <x:v>沙发</x:v>
      </x:c>
      <x:c r="D19" s="19" t="str">
        <x:v>客厅</x:v>
      </x:c>
      <x:c r="E19" s="19" t="str">
        <x:v>原木风</x:v>
      </x:c>
      <x:c r="F19" s="28" t="str">
        <x:v>北美白橡木</x:v>
      </x:c>
      <x:c r="G19" s="22" t="n">
        <x:v>3800</x:v>
      </x:c>
      <x:c r="H19" s="22" t="n">
        <x:v>5600</x:v>
      </x:c>
      <x:c r="I19" s="28" t="str">
        <x:v>宽1680×深840×高800mm</x:v>
      </x:c>
      <x:c r="J19" s="25" t="n">
        <x:v>1680</x:v>
      </x:c>
      <x:c r="K19" s="25" t="n">
        <x:v>840</x:v>
      </x:c>
      <x:c r="L19" s="25" t="n">
        <x:v>800</x:v>
      </x:c>
      <x:c r="M19" s="28" t="str">
        <x:v>真实尺寸参数建模，北美白橡木材质</x:v>
      </x:c>
      <x:c r="N19" s="28" t="str">
        <x:v>可选同类型其他参数款</x:v>
      </x:c>
      <x:c r="O19" s="19" t="str">
        <x:v>是</x:v>
      </x:c>
      <x:c r="P19" s="19" t="str">
        <x:v>待复核</x:v>
      </x:c>
      <x:c r="Q19" s="28" t="str">
        <x:v>内部参考零售价，待人工复核；不含配送、安装和选配费用。</x:v>
      </x:c>
      <x:c r="R19" s="34" t="str">
        <x:v>merchant_draft</x:v>
      </x:c>
      <x:c r="S19" s="34" t="str">
        <x:v>missing</x:v>
      </x:c>
      <x:c r="T19" s="19" t="str">
        <x:f>IF(OR(B19="",C19="",D19="",E19="",F19="",G19&lt;=0,I19="",J19&lt;=0,K19&lt;=0,L19&lt;=0),"缺字段",IF(P19&lt;&gt;"已复核","待复核","通过"))</x:f>
        <x:v>待复核</x:v>
      </x:c>
    </x:row>
    <x:row r="20" ht="36" customHeight="1">
      <x:c r="A20" s="19" t="str">
        <x:v>SF-001</x:v>
      </x:c>
      <x:c r="B20" s="19" t="str">
        <x:v>云朵感三人位布艺沙发</x:v>
      </x:c>
      <x:c r="C20" s="19" t="str">
        <x:v>沙发</x:v>
      </x:c>
      <x:c r="D20" s="19" t="str">
        <x:v>客厅</x:v>
      </x:c>
      <x:c r="E20" s="19" t="str">
        <x:v>奶油风</x:v>
      </x:c>
      <x:c r="F20" s="28" t="str">
        <x:v>科技布 + 高回弹海绵</x:v>
      </x:c>
      <x:c r="G20" s="22" t="n">
        <x:v>4999</x:v>
      </x:c>
      <x:c r="H20" s="22" t="n">
        <x:v>7299</x:v>
      </x:c>
      <x:c r="I20" s="28" t="str">
        <x:v>宽2380×深980×高760mm</x:v>
      </x:c>
      <x:c r="J20" s="25" t="n">
        <x:v>2380</x:v>
      </x:c>
      <x:c r="K20" s="25" t="n">
        <x:v>980</x:v>
      </x:c>
      <x:c r="L20" s="25" t="n">
        <x:v>760</x:v>
      </x:c>
      <x:c r="M20" s="28" t="str">
        <x:v>科技布耐抓易清洁，坐感松弛，宠物家庭首选</x:v>
      </x:c>
      <x:c r="N20" s="28" t="str">
        <x:v>棉麻布艺款（更透气，价格低 500）</x:v>
      </x:c>
      <x:c r="O20" s="19" t="str">
        <x:v>是</x:v>
      </x:c>
      <x:c r="P20" s="19" t="str">
        <x:v>待复核</x:v>
      </x:c>
      <x:c r="Q20" s="28" t="str">
        <x:v>内部参考零售价，待人工复核；不含配送、安装和选配费用。</x:v>
      </x:c>
      <x:c r="R20" s="34" t="str">
        <x:v>merchant_draft</x:v>
      </x:c>
      <x:c r="S20" s="34" t="str">
        <x:v>ready</x:v>
      </x:c>
      <x:c r="T20" s="19" t="str">
        <x:f>IF(OR(B20="",C20="",D20="",E20="",F20="",G20&lt;=0,I20="",J20&lt;=0,K20&lt;=0,L20&lt;=0),"缺字段",IF(P20&lt;&gt;"已复核","待复核","通过"))</x:f>
        <x:v>待复核</x:v>
      </x:c>
    </x:row>
    <x:row r="21" ht="36" customHeight="1">
      <x:c r="A21" s="19" t="str">
        <x:v>SF-002</x:v>
      </x:c>
      <x:c r="B21" s="19" t="str">
        <x:v>奶油白猫抓布转角沙发</x:v>
      </x:c>
      <x:c r="C21" s="19" t="str">
        <x:v>沙发</x:v>
      </x:c>
      <x:c r="D21" s="19" t="str">
        <x:v>客厅</x:v>
      </x:c>
      <x:c r="E21" s="19" t="str">
        <x:v>奶油风</x:v>
      </x:c>
      <x:c r="F21" s="28" t="str">
        <x:v>猫抓布 + 白蜡木脚</x:v>
      </x:c>
      <x:c r="G21" s="22" t="n">
        <x:v>6800</x:v>
      </x:c>
      <x:c r="H21" s="22" t="n">
        <x:v>9800</x:v>
      </x:c>
      <x:c r="I21" s="28" t="str">
        <x:v>宽2860×深1680×高790mm（右转角）</x:v>
      </x:c>
      <x:c r="J21" s="25" t="n">
        <x:v>2860</x:v>
      </x:c>
      <x:c r="K21" s="25" t="n">
        <x:v>1680</x:v>
      </x:c>
      <x:c r="L21" s="25" t="n">
        <x:v>790</x:v>
      </x:c>
      <x:c r="M21" s="28" t="str">
        <x:v>L 型转角利用率高，猫抓布面料五年质保</x:v>
      </x:c>
      <x:c r="N21" s="28" t="str">
        <x:v>直排三人位（小客厅更合适）</x:v>
      </x:c>
      <x:c r="O21" s="19" t="str">
        <x:v>是</x:v>
      </x:c>
      <x:c r="P21" s="19" t="str">
        <x:v>待复核</x:v>
      </x:c>
      <x:c r="Q21" s="28" t="str">
        <x:v>内部参考零售价，待人工复核；不含配送、安装和选配费用。</x:v>
      </x:c>
      <x:c r="R21" s="34" t="str">
        <x:v>merchant_draft</x:v>
      </x:c>
      <x:c r="S21" s="34" t="str">
        <x:v>ready</x:v>
      </x:c>
      <x:c r="T21" s="19" t="str">
        <x:f>IF(OR(B21="",C21="",D21="",E21="",F21="",G21&lt;=0,I21="",J21&lt;=0,K21&lt;=0,L21&lt;=0),"缺字段",IF(P21&lt;&gt;"已复核","待复核","通过"))</x:f>
        <x:v>待复核</x:v>
      </x:c>
    </x:row>
    <x:row r="22" ht="36" customHeight="1">
      <x:c r="A22" s="19" t="str">
        <x:v>SF-003</x:v>
      </x:c>
      <x:c r="B22" s="19" t="str">
        <x:v>中古风绒布单人椅</x:v>
      </x:c>
      <x:c r="C22" s="19" t="str">
        <x:v>沙发</x:v>
      </x:c>
      <x:c r="D22" s="19" t="str">
        <x:v>客厅</x:v>
      </x:c>
      <x:c r="E22" s="19" t="str">
        <x:v>中古风</x:v>
      </x:c>
      <x:c r="F22" s="28" t="str">
        <x:v>复古绒布 + 实木框架</x:v>
      </x:c>
      <x:c r="G22" s="22" t="n">
        <x:v>1580</x:v>
      </x:c>
      <x:c r="H22" s="22"/>
      <x:c r="I22" s="28" t="str">
        <x:v>宽720×深780×高790mm</x:v>
      </x:c>
      <x:c r="J22" s="25" t="n">
        <x:v>720</x:v>
      </x:c>
      <x:c r="K22" s="25" t="n">
        <x:v>780</x:v>
      </x:c>
      <x:c r="L22" s="25" t="n">
        <x:v>790</x:v>
      </x:c>
      <x:c r="M22" s="28" t="str">
        <x:v>一抹复古绿点亮空间，阅读角标配</x:v>
      </x:c>
      <x:c r="N22" s="28" t="str">
        <x:v>藤编休闲椅（更轻盈）</x:v>
      </x:c>
      <x:c r="O22" s="19" t="str">
        <x:v>是</x:v>
      </x:c>
      <x:c r="P22" s="19" t="str">
        <x:v>待复核</x:v>
      </x:c>
      <x:c r="Q22" s="28" t="str">
        <x:v>内部参考零售价，待人工复核；不含配送、安装和选配费用。</x:v>
      </x:c>
      <x:c r="R22" s="34" t="str">
        <x:v>merchant_draft</x:v>
      </x:c>
      <x:c r="S22" s="34" t="str">
        <x:v>ready</x:v>
      </x:c>
      <x:c r="T22" s="19" t="str">
        <x:f>IF(OR(B22="",C22="",D22="",E22="",F22="",G22&lt;=0,I22="",J22&lt;=0,K22&lt;=0,L22&lt;=0),"缺字段",IF(P22&lt;&gt;"已复核","待复核","通过"))</x:f>
        <x:v>待复核</x:v>
      </x:c>
    </x:row>
    <x:row r="23" ht="36" customHeight="1">
      <x:c r="A23" s="19" t="str">
        <x:v>DG-001</x:v>
      </x:c>
      <x:c r="B23" s="19" t="str">
        <x:v>奶油白蘑菇落地灯</x:v>
      </x:c>
      <x:c r="C23" s="19" t="str">
        <x:v>灯具</x:v>
      </x:c>
      <x:c r="D23" s="19" t="str">
        <x:v>客厅</x:v>
      </x:c>
      <x:c r="E23" s="19" t="str">
        <x:v>奶油风</x:v>
      </x:c>
      <x:c r="F23" s="28" t="str">
        <x:v>金属烤漆 + 玻璃灯罩</x:v>
      </x:c>
      <x:c r="G23" s="22" t="n">
        <x:v>680</x:v>
      </x:c>
      <x:c r="H23" s="22"/>
      <x:c r="I23" s="28" t="str">
        <x:v>灯体宽360×深360×高1450mm</x:v>
      </x:c>
      <x:c r="J23" s="25" t="n">
        <x:v>360</x:v>
      </x:c>
      <x:c r="K23" s="25" t="n">
        <x:v>360</x:v>
      </x:c>
      <x:c r="L23" s="25" t="n">
        <x:v>1450</x:v>
      </x:c>
      <x:c r="M23" s="28" t="str">
        <x:v>3000K 暖光，沙发角氛围担当</x:v>
      </x:c>
      <x:c r="N23" s="28" t="str">
        <x:v>可调色温阅读落地灯（功能性更强）</x:v>
      </x:c>
      <x:c r="O23" s="19" t="str">
        <x:v>是</x:v>
      </x:c>
      <x:c r="P23" s="19" t="str">
        <x:v>待复核</x:v>
      </x:c>
      <x:c r="Q23" s="28" t="str">
        <x:v>内部参考零售价，待人工复核；不含配送、安装和选配费用。</x:v>
      </x:c>
      <x:c r="R23" s="34" t="str">
        <x:v>merchant_draft</x:v>
      </x:c>
      <x:c r="S23" s="34" t="str">
        <x:v>ready</x:v>
      </x:c>
      <x:c r="T23" s="19" t="str">
        <x:f>IF(OR(B23="",C23="",D23="",E23="",F23="",G23&lt;=0,I23="",J23&lt;=0,K23&lt;=0,L23&lt;=0),"缺字段",IF(P23&lt;&gt;"已复核","待复核","通过"))</x:f>
        <x:v>待复核</x:v>
      </x:c>
    </x:row>
    <x:row r="24" ht="36" customHeight="1">
      <x:c r="A24" s="19" t="str">
        <x:v>CJ-001</x:v>
      </x:c>
      <x:c r="B24" s="19" t="str">
        <x:v>白蜡木圆角茶几</x:v>
      </x:c>
      <x:c r="C24" s="19" t="str">
        <x:v>茶几</x:v>
      </x:c>
      <x:c r="D24" s="19" t="str">
        <x:v>客厅</x:v>
      </x:c>
      <x:c r="E24" s="19" t="str">
        <x:v>原木风</x:v>
      </x:c>
      <x:c r="F24" s="28" t="str">
        <x:v>北美白蜡木</x:v>
      </x:c>
      <x:c r="G24" s="22" t="n">
        <x:v>1680</x:v>
      </x:c>
      <x:c r="H24" s="22" t="n">
        <x:v>2280</x:v>
      </x:c>
      <x:c r="I24" s="28" t="str">
        <x:v>宽1100×深620×高360mm</x:v>
      </x:c>
      <x:c r="J24" s="25" t="n">
        <x:v>1100</x:v>
      </x:c>
      <x:c r="K24" s="25" t="n">
        <x:v>620</x:v>
      </x:c>
      <x:c r="L24" s="25" t="n">
        <x:v>360</x:v>
      </x:c>
      <x:c r="M24" s="28" t="str">
        <x:v>全圆角设计对孩子友好，实木耐用越用越润</x:v>
      </x:c>
      <x:c r="N24" s="28" t="str">
        <x:v>岩板小边几组合（更易清洁）</x:v>
      </x:c>
      <x:c r="O24" s="19" t="str">
        <x:v>是</x:v>
      </x:c>
      <x:c r="P24" s="19" t="str">
        <x:v>待复核</x:v>
      </x:c>
      <x:c r="Q24" s="28" t="str">
        <x:v>内部参考零售价，待人工复核；不含配送、安装和选配费用。</x:v>
      </x:c>
      <x:c r="R24" s="34" t="str">
        <x:v>merchant_draft</x:v>
      </x:c>
      <x:c r="S24" s="34" t="str">
        <x:v>ready</x:v>
      </x:c>
      <x:c r="T24" s="19" t="str">
        <x:f>IF(OR(B24="",C24="",D24="",E24="",F24="",G24&lt;=0,I24="",J24&lt;=0,K24&lt;=0,L24&lt;=0),"缺字段",IF(P24&lt;&gt;"已复核","待复核","通过"))</x:f>
        <x:v>待复核</x:v>
      </x:c>
    </x:row>
    <x:row r="25" ht="36" customHeight="1">
      <x:c r="A25" s="19" t="str">
        <x:v>CJ-002</x:v>
      </x:c>
      <x:c r="B25" s="19" t="str">
        <x:v>岩板套几（大小两件）</x:v>
      </x:c>
      <x:c r="C25" s="19" t="str">
        <x:v>茶几</x:v>
      </x:c>
      <x:c r="D25" s="19" t="str">
        <x:v>客厅</x:v>
      </x:c>
      <x:c r="E25" s="19" t="str">
        <x:v>轻奢风</x:v>
      </x:c>
      <x:c r="F25" s="28" t="str">
        <x:v>哑光岩板 + 碳素钢</x:v>
      </x:c>
      <x:c r="G25" s="22" t="n">
        <x:v>2380</x:v>
      </x:c>
      <x:c r="H25" s="22"/>
      <x:c r="I25" s="28" t="str">
        <x:v>组合占地宽1210×深800×高460mm</x:v>
      </x:c>
      <x:c r="J25" s="25" t="n">
        <x:v>1210</x:v>
      </x:c>
      <x:c r="K25" s="25" t="n">
        <x:v>800</x:v>
      </x:c>
      <x:c r="L25" s="25" t="n">
        <x:v>460</x:v>
      </x:c>
      <x:c r="M25" s="28" t="str">
        <x:v>可分可合灵活挪动，岩板不怕烫不渗色</x:v>
      </x:c>
      <x:c r="N25" s="28" t="str">
        <x:v>白蜡木圆角茶几（更温润）</x:v>
      </x:c>
      <x:c r="O25" s="19" t="str">
        <x:v>是</x:v>
      </x:c>
      <x:c r="P25" s="19" t="str">
        <x:v>待复核</x:v>
      </x:c>
      <x:c r="Q25" s="28" t="str">
        <x:v>内部参考零售价，待人工复核；不含配送、安装和选配费用。</x:v>
      </x:c>
      <x:c r="R25" s="34" t="str">
        <x:v>merchant_draft</x:v>
      </x:c>
      <x:c r="S25" s="34" t="str">
        <x:v>ready</x:v>
      </x:c>
      <x:c r="T25" s="19" t="str">
        <x:f>IF(OR(B25="",C25="",D25="",E25="",F25="",G25&lt;=0,I25="",J25&lt;=0,K25&lt;=0,L25&lt;=0),"缺字段",IF(P25&lt;&gt;"已复核","待复核","通过"))</x:f>
        <x:v>待复核</x:v>
      </x:c>
    </x:row>
    <x:row r="26" ht="36" customHeight="1">
      <x:c r="A26" s="19" t="str">
        <x:v>HAUS-COFFEE-003</x:v>
      </x:c>
      <x:c r="B26" s="19" t="str">
        <x:v>白橡木圆角长茶几</x:v>
      </x:c>
      <x:c r="C26" s="19" t="str">
        <x:v>茶几</x:v>
      </x:c>
      <x:c r="D26" s="19" t="str">
        <x:v>客厅</x:v>
      </x:c>
      <x:c r="E26" s="19" t="str">
        <x:v>原木风</x:v>
      </x:c>
      <x:c r="F26" s="28" t="str">
        <x:v>北美白橡木木蜡油</x:v>
      </x:c>
      <x:c r="G26" s="22" t="n">
        <x:v>1600</x:v>
      </x:c>
      <x:c r="H26" s="22" t="n">
        <x:v>2300</x:v>
      </x:c>
      <x:c r="I26" s="28" t="str">
        <x:v>宽1200×深600×高360mm</x:v>
      </x:c>
      <x:c r="J26" s="25" t="n">
        <x:v>1200</x:v>
      </x:c>
      <x:c r="K26" s="25" t="n">
        <x:v>600</x:v>
      </x:c>
      <x:c r="L26" s="25" t="n">
        <x:v>360</x:v>
      </x:c>
      <x:c r="M26" s="28" t="str">
        <x:v>真实尺寸参数建模，北美白橡木木蜡油材质</x:v>
      </x:c>
      <x:c r="N26" s="28" t="str">
        <x:v>可选同类型其他参数款</x:v>
      </x:c>
      <x:c r="O26" s="19" t="str">
        <x:v>是</x:v>
      </x:c>
      <x:c r="P26" s="19" t="str">
        <x:v>待复核</x:v>
      </x:c>
      <x:c r="Q26" s="28" t="str">
        <x:v>内部参考零售价，待人工复核；不含配送、安装和选配费用。</x:v>
      </x:c>
      <x:c r="R26" s="34" t="str">
        <x:v>merchant_draft</x:v>
      </x:c>
      <x:c r="S26" s="34" t="str">
        <x:v>missing</x:v>
      </x:c>
      <x:c r="T26" s="19" t="str">
        <x:f>IF(OR(B26="",C26="",D26="",E26="",F26="",G26&lt;=0,I26="",J26&lt;=0,K26&lt;=0,L26&lt;=0),"缺字段",IF(P26&lt;&gt;"已复核","待复核","通过"))</x:f>
        <x:v>待复核</x:v>
      </x:c>
    </x:row>
    <x:row r="27" ht="36" customHeight="1">
      <x:c r="A27" s="19" t="str">
        <x:v>HAUS-COFFEE-004</x:v>
      </x:c>
      <x:c r="B27" s="19" t="str">
        <x:v>米白洞石双层茶几</x:v>
      </x:c>
      <x:c r="C27" s="19" t="str">
        <x:v>茶几</x:v>
      </x:c>
      <x:c r="D27" s="19" t="str">
        <x:v>客厅</x:v>
      </x:c>
      <x:c r="E27" s="19" t="str">
        <x:v>现代轻奢</x:v>
      </x:c>
      <x:c r="F27" s="28" t="str">
        <x:v>浅米白洞石</x:v>
      </x:c>
      <x:c r="G27" s="22" t="n">
        <x:v>2600</x:v>
      </x:c>
      <x:c r="H27" s="22" t="n">
        <x:v>3900</x:v>
      </x:c>
      <x:c r="I27" s="28" t="str">
        <x:v>宽1100×深650×高360mm</x:v>
      </x:c>
      <x:c r="J27" s="25" t="n">
        <x:v>1100</x:v>
      </x:c>
      <x:c r="K27" s="25" t="n">
        <x:v>650</x:v>
      </x:c>
      <x:c r="L27" s="25" t="n">
        <x:v>360</x:v>
      </x:c>
      <x:c r="M27" s="28" t="str">
        <x:v>真实尺寸参数建模，浅米白洞石材质</x:v>
      </x:c>
      <x:c r="N27" s="28" t="str">
        <x:v>可选同类型其他参数款</x:v>
      </x:c>
      <x:c r="O27" s="19" t="str">
        <x:v>是</x:v>
      </x:c>
      <x:c r="P27" s="19" t="str">
        <x:v>待复核</x:v>
      </x:c>
      <x:c r="Q27" s="28" t="str">
        <x:v>内部参考零售价，待人工复核；不含配送、安装和选配费用。</x:v>
      </x:c>
      <x:c r="R27" s="34" t="str">
        <x:v>merchant_draft</x:v>
      </x:c>
      <x:c r="S27" s="34" t="str">
        <x:v>missing</x:v>
      </x:c>
      <x:c r="T27" s="19" t="str">
        <x:f>IF(OR(B27="",C27="",D27="",E27="",F27="",G27&lt;=0,I27="",J27&lt;=0,K27&lt;=0,L27&lt;=0),"缺字段",IF(P27&lt;&gt;"已复核","待复核","通过"))</x:f>
        <x:v>待复核</x:v>
      </x:c>
    </x:row>
    <x:row r="28" ht="36" customHeight="1">
      <x:c r="A28" s="19" t="str">
        <x:v>HAUS-COFFEE-005</x:v>
      </x:c>
      <x:c r="B28" s="19" t="str">
        <x:v>烟熏玻璃金属茶几</x:v>
      </x:c>
      <x:c r="C28" s="19" t="str">
        <x:v>茶几</x:v>
      </x:c>
      <x:c r="D28" s="19" t="str">
        <x:v>客厅</x:v>
      </x:c>
      <x:c r="E28" s="19" t="str">
        <x:v>现代简约</x:v>
      </x:c>
      <x:c r="F28" s="28" t="str">
        <x:v>灰茶色钢化玻璃</x:v>
      </x:c>
      <x:c r="G28" s="22" t="n">
        <x:v>1500</x:v>
      </x:c>
      <x:c r="H28" s="22" t="n">
        <x:v>2200</x:v>
      </x:c>
      <x:c r="I28" s="28" t="str">
        <x:v>宽900×深900×高350mm</x:v>
      </x:c>
      <x:c r="J28" s="25" t="n">
        <x:v>900</x:v>
      </x:c>
      <x:c r="K28" s="25" t="n">
        <x:v>900</x:v>
      </x:c>
      <x:c r="L28" s="25" t="n">
        <x:v>350</x:v>
      </x:c>
      <x:c r="M28" s="28" t="str">
        <x:v>真实尺寸参数建模，灰茶色钢化玻璃材质</x:v>
      </x:c>
      <x:c r="N28" s="28" t="str">
        <x:v>可选同类型其他参数款</x:v>
      </x:c>
      <x:c r="O28" s="19" t="str">
        <x:v>是</x:v>
      </x:c>
      <x:c r="P28" s="19" t="str">
        <x:v>待复核</x:v>
      </x:c>
      <x:c r="Q28" s="28" t="str">
        <x:v>内部参考零售价，待人工复核；不含配送、安装和选配费用。</x:v>
      </x:c>
      <x:c r="R28" s="34" t="str">
        <x:v>merchant_draft</x:v>
      </x:c>
      <x:c r="S28" s="34" t="str">
        <x:v>missing</x:v>
      </x:c>
      <x:c r="T28" s="19" t="str">
        <x:f>IF(OR(B28="",C28="",D28="",E28="",F28="",G28&lt;=0,I28="",J28&lt;=0,K28&lt;=0,L28&lt;=0),"缺字段",IF(P28&lt;&gt;"已复核","待复核","通过"))</x:f>
        <x:v>待复核</x:v>
      </x:c>
    </x:row>
    <x:row r="29" ht="36" customHeight="1">
      <x:c r="A29" s="19" t="str">
        <x:v>HAUS-COFFEE-006</x:v>
      </x:c>
      <x:c r="B29" s="19" t="str">
        <x:v>奶油风不规则云朵茶几</x:v>
      </x:c>
      <x:c r="C29" s="19" t="str">
        <x:v>茶几</x:v>
      </x:c>
      <x:c r="D29" s="19" t="str">
        <x:v>客厅</x:v>
      </x:c>
      <x:c r="E29" s="19" t="str">
        <x:v>奶油风</x:v>
      </x:c>
      <x:c r="F29" s="28" t="str">
        <x:v>米白哑光微水泥饰面</x:v>
      </x:c>
      <x:c r="G29" s="22" t="n">
        <x:v>1200</x:v>
      </x:c>
      <x:c r="H29" s="22" t="n">
        <x:v>1800</x:v>
      </x:c>
      <x:c r="I29" s="28" t="str">
        <x:v>宽1050×深700×高340mm</x:v>
      </x:c>
      <x:c r="J29" s="25" t="n">
        <x:v>1050</x:v>
      </x:c>
      <x:c r="K29" s="25" t="n">
        <x:v>700</x:v>
      </x:c>
      <x:c r="L29" s="25" t="n">
        <x:v>340</x:v>
      </x:c>
      <x:c r="M29" s="28" t="str">
        <x:v>真实尺寸参数建模，米白哑光微水泥饰面材质</x:v>
      </x:c>
      <x:c r="N29" s="28" t="str">
        <x:v>可选同类型其他参数款</x:v>
      </x:c>
      <x:c r="O29" s="19" t="str">
        <x:v>是</x:v>
      </x:c>
      <x:c r="P29" s="19" t="str">
        <x:v>待复核</x:v>
      </x:c>
      <x:c r="Q29" s="28" t="str">
        <x:v>内部参考零售价，待人工复核；不含配送、安装和选配费用。</x:v>
      </x:c>
      <x:c r="R29" s="34" t="str">
        <x:v>merchant_draft</x:v>
      </x:c>
      <x:c r="S29" s="34" t="str">
        <x:v>missing</x:v>
      </x:c>
      <x:c r="T29" s="19" t="str">
        <x:f>IF(OR(B29="",C29="",D29="",E29="",F29="",G29&lt;=0,I29="",J29&lt;=0,K29&lt;=0,L29&lt;=0),"缺字段",IF(P29&lt;&gt;"已复核","待复核","通过"))</x:f>
        <x:v>待复核</x:v>
      </x:c>
    </x:row>
    <x:row r="30" ht="36" customHeight="1">
      <x:c r="A30" s="19" t="str">
        <x:v>DG-003</x:v>
      </x:c>
      <x:c r="B30" s="19" t="str">
        <x:v>黄铜玻璃餐吊灯</x:v>
      </x:c>
      <x:c r="C30" s="19" t="str">
        <x:v>灯具</x:v>
      </x:c>
      <x:c r="D30" s="19" t="str">
        <x:v>餐厅</x:v>
      </x:c>
      <x:c r="E30" s="19" t="str">
        <x:v>轻奢风</x:v>
      </x:c>
      <x:c r="F30" s="28" t="str">
        <x:v>拉丝黄铜 + 柔光玻璃</x:v>
      </x:c>
      <x:c r="G30" s="22" t="n">
        <x:v>1180</x:v>
      </x:c>
      <x:c r="H30" s="22"/>
      <x:c r="I30" s="28" t="str">
        <x:v>灯体直径750×总高1744mm</x:v>
      </x:c>
      <x:c r="J30" s="25" t="n">
        <x:v>750</x:v>
      </x:c>
      <x:c r="K30" s="25" t="n">
        <x:v>750</x:v>
      </x:c>
      <x:c r="L30" s="25" t="n">
        <x:v>1744</x:v>
      </x:c>
      <x:c r="M30" s="28" t="str">
        <x:v>离桌 75cm 聚拢用餐氛围，铜件不生锈</x:v>
      </x:c>
      <x:c r="N30" s="28" t="str">
        <x:v>纸艺吊灯（日式氛围）</x:v>
      </x:c>
      <x:c r="O30" s="19" t="str">
        <x:v>是</x:v>
      </x:c>
      <x:c r="P30" s="19" t="str">
        <x:v>待复核</x:v>
      </x:c>
      <x:c r="Q30" s="28" t="str">
        <x:v>内部参考零售价，待人工复核；不含配送、安装和选配费用。</x:v>
      </x:c>
      <x:c r="R30" s="34" t="str">
        <x:v>merchant_draft</x:v>
      </x:c>
      <x:c r="S30" s="34" t="str">
        <x:v>ready</x:v>
      </x:c>
      <x:c r="T30" s="19" t="str">
        <x:f>IF(OR(B30="",C30="",D30="",E30="",F30="",G30&lt;=0,I30="",J30&lt;=0,K30&lt;=0,L30&lt;=0),"缺字段",IF(P30&lt;&gt;"已复核","待复核","通过"))</x:f>
        <x:v>待复核</x:v>
      </x:c>
    </x:row>
    <x:row r="31" ht="36" customHeight="1">
      <x:c r="A31" s="19" t="str">
        <x:v>HAUS-DINING-003</x:v>
      </x:c>
      <x:c r="B31" s="19" t="str">
        <x:v>白蜡木六人长餐桌</x:v>
      </x:c>
      <x:c r="C31" s="19" t="str">
        <x:v>餐桌</x:v>
      </x:c>
      <x:c r="D31" s="19" t="str">
        <x:v>餐厅</x:v>
      </x:c>
      <x:c r="E31" s="19" t="str">
        <x:v>原木风</x:v>
      </x:c>
      <x:c r="F31" s="28" t="str">
        <x:v>北美白蜡木木蜡油</x:v>
      </x:c>
      <x:c r="G31" s="22" t="n">
        <x:v>2800</x:v>
      </x:c>
      <x:c r="H31" s="22" t="n">
        <x:v>4200</x:v>
      </x:c>
      <x:c r="I31" s="28" t="str">
        <x:v>长1800×宽850×高750mm</x:v>
      </x:c>
      <x:c r="J31" s="25" t="n">
        <x:v>1800</x:v>
      </x:c>
      <x:c r="K31" s="25" t="n">
        <x:v>850</x:v>
      </x:c>
      <x:c r="L31" s="25" t="n">
        <x:v>750</x:v>
      </x:c>
      <x:c r="M31" s="28" t="str">
        <x:v>真实尺寸参数建模，北美白蜡木木蜡油材质</x:v>
      </x:c>
      <x:c r="N31" s="28" t="str">
        <x:v>可选同类型其他参数款</x:v>
      </x:c>
      <x:c r="O31" s="19" t="str">
        <x:v>是</x:v>
      </x:c>
      <x:c r="P31" s="19" t="str">
        <x:v>待复核</x:v>
      </x:c>
      <x:c r="Q31" s="28" t="str">
        <x:v>内部参考零售价，待人工复核；不含配送、安装和选配费用。</x:v>
      </x:c>
      <x:c r="R31" s="34" t="str">
        <x:v>merchant_draft</x:v>
      </x:c>
      <x:c r="S31" s="34" t="str">
        <x:v>missing</x:v>
      </x:c>
      <x:c r="T31" s="19" t="str">
        <x:f>IF(OR(B31="",C31="",D31="",E31="",F31="",G31&lt;=0,I31="",J31&lt;=0,K31&lt;=0,L31&lt;=0),"缺字段",IF(P31&lt;&gt;"已复核","待复核","通过"))</x:f>
        <x:v>待复核</x:v>
      </x:c>
    </x:row>
    <x:row r="32" ht="36" customHeight="1">
      <x:c r="A32" s="19" t="str">
        <x:v>HAUS-DINING-004</x:v>
      </x:c>
      <x:c r="B32" s="19" t="str">
        <x:v>暖白岩板圆餐桌</x:v>
      </x:c>
      <x:c r="C32" s="19" t="str">
        <x:v>餐桌</x:v>
      </x:c>
      <x:c r="D32" s="19" t="str">
        <x:v>餐厅</x:v>
      </x:c>
      <x:c r="E32" s="19" t="str">
        <x:v>现代轻奢</x:v>
      </x:c>
      <x:c r="F32" s="28" t="str">
        <x:v>暖白哑光岩板</x:v>
      </x:c>
      <x:c r="G32" s="22" t="n">
        <x:v>3200</x:v>
      </x:c>
      <x:c r="H32" s="22" t="n">
        <x:v>4800</x:v>
      </x:c>
      <x:c r="I32" s="28" t="str">
        <x:v>直径1350×高750mm</x:v>
      </x:c>
      <x:c r="J32" s="25" t="n">
        <x:v>1350</x:v>
      </x:c>
      <x:c r="K32" s="25" t="n">
        <x:v>1350</x:v>
      </x:c>
      <x:c r="L32" s="25" t="n">
        <x:v>750</x:v>
      </x:c>
      <x:c r="M32" s="28" t="str">
        <x:v>真实尺寸参数建模，暖白哑光岩板材质</x:v>
      </x:c>
      <x:c r="N32" s="28" t="str">
        <x:v>可选同类型其他参数款</x:v>
      </x:c>
      <x:c r="O32" s="19" t="str">
        <x:v>是</x:v>
      </x:c>
      <x:c r="P32" s="19" t="str">
        <x:v>待复核</x:v>
      </x:c>
      <x:c r="Q32" s="28" t="str">
        <x:v>内部参考零售价，待人工复核；不含配送、安装和选配费用。</x:v>
      </x:c>
      <x:c r="R32" s="34" t="str">
        <x:v>merchant_draft</x:v>
      </x:c>
      <x:c r="S32" s="34" t="str">
        <x:v>missing</x:v>
      </x:c>
      <x:c r="T32" s="19" t="str">
        <x:f>IF(OR(B32="",C32="",D32="",E32="",F32="",G32&lt;=0,I32="",J32&lt;=0,K32&lt;=0,L32&lt;=0),"缺字段",IF(P32&lt;&gt;"已复核","待复核","通过"))</x:f>
        <x:v>待复核</x:v>
      </x:c>
    </x:row>
    <x:row r="33" ht="36" customHeight="1">
      <x:c r="A33" s="19" t="str">
        <x:v>HAUS-DINING-005</x:v>
      </x:c>
      <x:c r="B33" s="19" t="str">
        <x:v>黑胡桃椭圆餐桌</x:v>
      </x:c>
      <x:c r="C33" s="19" t="str">
        <x:v>餐桌</x:v>
      </x:c>
      <x:c r="D33" s="19" t="str">
        <x:v>餐厅</x:v>
      </x:c>
      <x:c r="E33" s="19" t="str">
        <x:v>中古风</x:v>
      </x:c>
      <x:c r="F33" s="28" t="str">
        <x:v>北美黑胡桃木木蜡油</x:v>
      </x:c>
      <x:c r="G33" s="22" t="n">
        <x:v>4200</x:v>
      </x:c>
      <x:c r="H33" s="22" t="n">
        <x:v>6200</x:v>
      </x:c>
      <x:c r="I33" s="28" t="str">
        <x:v>长1800×宽900×高750mm</x:v>
      </x:c>
      <x:c r="J33" s="25" t="n">
        <x:v>1800</x:v>
      </x:c>
      <x:c r="K33" s="25" t="n">
        <x:v>900</x:v>
      </x:c>
      <x:c r="L33" s="25" t="n">
        <x:v>750</x:v>
      </x:c>
      <x:c r="M33" s="28" t="str">
        <x:v>真实尺寸参数建模，北美黑胡桃木木蜡油材质</x:v>
      </x:c>
      <x:c r="N33" s="28" t="str">
        <x:v>可选同类型其他参数款</x:v>
      </x:c>
      <x:c r="O33" s="19" t="str">
        <x:v>是</x:v>
      </x:c>
      <x:c r="P33" s="19" t="str">
        <x:v>待复核</x:v>
      </x:c>
      <x:c r="Q33" s="28" t="str">
        <x:v>内部参考零售价，待人工复核；不含配送、安装和选配费用。</x:v>
      </x:c>
      <x:c r="R33" s="34" t="str">
        <x:v>merchant_draft</x:v>
      </x:c>
      <x:c r="S33" s="34" t="str">
        <x:v>missing</x:v>
      </x:c>
      <x:c r="T33" s="19" t="str">
        <x:f>IF(OR(B33="",C33="",D33="",E33="",F33="",G33&lt;=0,I33="",J33&lt;=0,K33&lt;=0,L33&lt;=0),"缺字段",IF(P33&lt;&gt;"已复核","待复核","通过"))</x:f>
        <x:v>待复核</x:v>
      </x:c>
    </x:row>
    <x:row r="34" ht="36" customHeight="1">
      <x:c r="A34" s="19" t="str">
        <x:v>HAUS-DINING-006</x:v>
      </x:c>
      <x:c r="B34" s="19" t="str">
        <x:v>可伸缩陶瓷餐桌</x:v>
      </x:c>
      <x:c r="C34" s="19" t="str">
        <x:v>餐桌</x:v>
      </x:c>
      <x:c r="D34" s="19" t="str">
        <x:v>餐厅</x:v>
      </x:c>
      <x:c r="E34" s="19" t="str">
        <x:v>现代简约</x:v>
      </x:c>
      <x:c r="F34" s="28" t="str">
        <x:v>暖灰哑光陶瓷</x:v>
      </x:c>
      <x:c r="G34" s="22" t="n">
        <x:v>4500</x:v>
      </x:c>
      <x:c r="H34" s="22" t="n">
        <x:v>6800</x:v>
      </x:c>
      <x:c r="I34" s="28" t="str">
        <x:v>常态长1500×宽850×高750mm（可伸缩）</x:v>
      </x:c>
      <x:c r="J34" s="25" t="n">
        <x:v>1500</x:v>
      </x:c>
      <x:c r="K34" s="25" t="n">
        <x:v>850</x:v>
      </x:c>
      <x:c r="L34" s="25" t="n">
        <x:v>750</x:v>
      </x:c>
      <x:c r="M34" s="28" t="str">
        <x:v>真实尺寸参数建模，暖灰哑光陶瓷材质</x:v>
      </x:c>
      <x:c r="N34" s="28" t="str">
        <x:v>可选同类型其他参数款</x:v>
      </x:c>
      <x:c r="O34" s="19" t="str">
        <x:v>是</x:v>
      </x:c>
      <x:c r="P34" s="19" t="str">
        <x:v>待复核</x:v>
      </x:c>
      <x:c r="Q34" s="28" t="str">
        <x:v>内部参考零售价，待人工复核；不含配送、安装和选配费用。</x:v>
      </x:c>
      <x:c r="R34" s="34" t="str">
        <x:v>merchant_draft</x:v>
      </x:c>
      <x:c r="S34" s="34" t="str">
        <x:v>missing</x:v>
      </x:c>
      <x:c r="T34" s="19" t="str">
        <x:f>IF(OR(B34="",C34="",D34="",E34="",F34="",G34&lt;=0,I34="",J34&lt;=0,K34&lt;=0,L34&lt;=0),"缺字段",IF(P34&lt;&gt;"已复核","待复核","通过"))</x:f>
        <x:v>待复核</x:v>
      </x:c>
    </x:row>
    <x:row r="35" ht="36" customHeight="1">
      <x:c r="A35" s="19" t="str">
        <x:v>ZY-001</x:v>
      </x:c>
      <x:c r="B35" s="19" t="str">
        <x:v>岩板圆形餐桌</x:v>
      </x:c>
      <x:c r="C35" s="19" t="str">
        <x:v>餐桌</x:v>
      </x:c>
      <x:c r="D35" s="19" t="str">
        <x:v>餐厅</x:v>
      </x:c>
      <x:c r="E35" s="19" t="str">
        <x:v>轻奢风</x:v>
      </x:c>
      <x:c r="F35" s="28" t="str">
        <x:v>12mm 岩板 + 碳素钢</x:v>
      </x:c>
      <x:c r="G35" s="22" t="n">
        <x:v>3280</x:v>
      </x:c>
      <x:c r="H35" s="22" t="n">
        <x:v>4680</x:v>
      </x:c>
      <x:c r="I35" s="28" t="str">
        <x:v>直径1350×高750mm</x:v>
      </x:c>
      <x:c r="J35" s="25" t="n">
        <x:v>1350</x:v>
      </x:c>
      <x:c r="K35" s="25" t="n">
        <x:v>1350</x:v>
      </x:c>
      <x:c r="L35" s="25" t="n">
        <x:v>750</x:v>
      </x:c>
      <x:c r="M35" s="28" t="str">
        <x:v>圆桌动线灵活，岩板耐高温易清洁</x:v>
      </x:c>
      <x:c r="N35" s="28" t="str">
        <x:v>白蜡木原木餐桌（氛围更温馨）</x:v>
      </x:c>
      <x:c r="O35" s="19" t="str">
        <x:v>是</x:v>
      </x:c>
      <x:c r="P35" s="19" t="str">
        <x:v>待复核</x:v>
      </x:c>
      <x:c r="Q35" s="28" t="str">
        <x:v>内部参考零售价，待人工复核；不含配送、安装和选配费用。</x:v>
      </x:c>
      <x:c r="R35" s="34" t="str">
        <x:v>merchant_draft</x:v>
      </x:c>
      <x:c r="S35" s="34" t="str">
        <x:v>ready</x:v>
      </x:c>
      <x:c r="T35" s="19" t="str">
        <x:f>IF(OR(B35="",C35="",D35="",E35="",F35="",G35&lt;=0,I35="",J35&lt;=0,K35&lt;=0,L35&lt;=0),"缺字段",IF(P35&lt;&gt;"已复核","待复核","通过"))</x:f>
        <x:v>待复核</x:v>
      </x:c>
    </x:row>
    <x:row r="36" ht="36" customHeight="1">
      <x:c r="A36" s="19" t="str">
        <x:v>ZY-002</x:v>
      </x:c>
      <x:c r="B36" s="19" t="str">
        <x:v>白蜡木原木长餐桌</x:v>
      </x:c>
      <x:c r="C36" s="19" t="str">
        <x:v>餐桌</x:v>
      </x:c>
      <x:c r="D36" s="19" t="str">
        <x:v>餐厅</x:v>
      </x:c>
      <x:c r="E36" s="19" t="str">
        <x:v>原木风</x:v>
      </x:c>
      <x:c r="F36" s="28" t="str">
        <x:v>北美白蜡木大板</x:v>
      </x:c>
      <x:c r="G36" s="22" t="n">
        <x:v>2880</x:v>
      </x:c>
      <x:c r="H36" s="22" t="n">
        <x:v>4280</x:v>
      </x:c>
      <x:c r="I36" s="28" t="str">
        <x:v>长1800×宽850×高750mm</x:v>
      </x:c>
      <x:c r="J36" s="25" t="n">
        <x:v>1800</x:v>
      </x:c>
      <x:c r="K36" s="25" t="n">
        <x:v>850</x:v>
      </x:c>
      <x:c r="L36" s="25" t="n">
        <x:v>750</x:v>
      </x:c>
      <x:c r="M36" s="28" t="str">
        <x:v>一整块大板纹理自然，全家围坐有温度</x:v>
      </x:c>
      <x:c r="N36" s="28" t="str">
        <x:v>岩板餐桌（更耐造零维护）</x:v>
      </x:c>
      <x:c r="O36" s="19" t="str">
        <x:v>是</x:v>
      </x:c>
      <x:c r="P36" s="19" t="str">
        <x:v>待复核</x:v>
      </x:c>
      <x:c r="Q36" s="28" t="str">
        <x:v>内部参考零售价，待人工复核；不含配送、安装和选配费用。</x:v>
      </x:c>
      <x:c r="R36" s="34" t="str">
        <x:v>merchant_draft</x:v>
      </x:c>
      <x:c r="S36" s="34" t="str">
        <x:v>ready</x:v>
      </x:c>
      <x:c r="T36" s="19" t="str">
        <x:f>IF(OR(B36="",C36="",D36="",E36="",F36="",G36&lt;=0,I36="",J36&lt;=0,K36&lt;=0,L36&lt;=0),"缺字段",IF(P36&lt;&gt;"已复核","待复核","通过"))</x:f>
        <x:v>待复核</x:v>
      </x:c>
    </x:row>
    <x:row r="37" ht="36" customHeight="1">
      <x:c r="A37" s="19" t="str">
        <x:v>CY-001</x:v>
      </x:c>
      <x:c r="B37" s="19" t="str">
        <x:v>藤编靠背餐椅</x:v>
      </x:c>
      <x:c r="C37" s="19" t="str">
        <x:v>餐椅</x:v>
      </x:c>
      <x:c r="D37" s="19" t="str">
        <x:v>餐厅</x:v>
      </x:c>
      <x:c r="E37" s="19" t="str">
        <x:v>原木风</x:v>
      </x:c>
      <x:c r="F37" s="28" t="str">
        <x:v>橡胶木 + 手工藤编</x:v>
      </x:c>
      <x:c r="G37" s="22" t="n">
        <x:v>460</x:v>
      </x:c>
      <x:c r="H37" s="22"/>
      <x:c r="I37" s="28" t="str">
        <x:v>宽460×深535×高810mm</x:v>
      </x:c>
      <x:c r="J37" s="25" t="n">
        <x:v>460</x:v>
      </x:c>
      <x:c r="K37" s="25" t="n">
        <x:v>535</x:v>
      </x:c>
      <x:c r="L37" s="25" t="n">
        <x:v>810</x:v>
      </x:c>
      <x:c r="M37" s="28" t="str">
        <x:v>透气藤编久坐不闷，手工编织有质感</x:v>
      </x:c>
      <x:c r="N37" s="28" t="str">
        <x:v>布艺软包餐椅（久坐更舒适）</x:v>
      </x:c>
      <x:c r="O37" s="19" t="str">
        <x:v>是</x:v>
      </x:c>
      <x:c r="P37" s="19" t="str">
        <x:v>待复核</x:v>
      </x:c>
      <x:c r="Q37" s="28" t="str">
        <x:v>内部参考零售价，待人工复核；不含配送、安装和选配费用。</x:v>
      </x:c>
      <x:c r="R37" s="34" t="str">
        <x:v>merchant_draft</x:v>
      </x:c>
      <x:c r="S37" s="34" t="str">
        <x:v>ready</x:v>
      </x:c>
      <x:c r="T37" s="19" t="str">
        <x:f>IF(OR(B37="",C37="",D37="",E37="",F37="",G37&lt;=0,I37="",J37&lt;=0,K37&lt;=0,L37&lt;=0),"缺字段",IF(P37&lt;&gt;"已复核","待复核","通过"))</x:f>
        <x:v>待复核</x:v>
      </x:c>
    </x:row>
    <x:row r="38" ht="36" customHeight="1">
      <x:c r="A38" s="19" t="str">
        <x:v>HAUS-CHAIR-004</x:v>
      </x:c>
      <x:c r="B38" s="19" t="str">
        <x:v>白橡木藤编餐椅</x:v>
      </x:c>
      <x:c r="C38" s="19" t="str">
        <x:v>餐椅</x:v>
      </x:c>
      <x:c r="D38" s="19" t="str">
        <x:v>餐厅</x:v>
      </x:c>
      <x:c r="E38" s="19" t="str">
        <x:v>原木风</x:v>
      </x:c>
      <x:c r="F38" s="28" t="str">
        <x:v>白橡木</x:v>
      </x:c>
      <x:c r="G38" s="22" t="n">
        <x:v>520</x:v>
      </x:c>
      <x:c r="H38" s="22" t="n">
        <x:v>780</x:v>
      </x:c>
      <x:c r="I38" s="28" t="str">
        <x:v>宽460×深535×高810mm</x:v>
      </x:c>
      <x:c r="J38" s="25" t="n">
        <x:v>460</x:v>
      </x:c>
      <x:c r="K38" s="25" t="n">
        <x:v>535</x:v>
      </x:c>
      <x:c r="L38" s="25" t="n">
        <x:v>810</x:v>
      </x:c>
      <x:c r="M38" s="28" t="str">
        <x:v>真实尺寸参数建模，白橡木材质</x:v>
      </x:c>
      <x:c r="N38" s="28" t="str">
        <x:v>可选同类型其他参数款</x:v>
      </x:c>
      <x:c r="O38" s="19" t="str">
        <x:v>是</x:v>
      </x:c>
      <x:c r="P38" s="19" t="str">
        <x:v>待复核</x:v>
      </x:c>
      <x:c r="Q38" s="28" t="str">
        <x:v>内部参考零售价，待人工复核；不含配送、安装和选配费用。</x:v>
      </x:c>
      <x:c r="R38" s="34" t="str">
        <x:v>merchant_draft</x:v>
      </x:c>
      <x:c r="S38" s="34" t="str">
        <x:v>missing</x:v>
      </x:c>
      <x:c r="T38" s="19" t="str">
        <x:f>IF(OR(B38="",C38="",D38="",E38="",F38="",G38&lt;=0,I38="",J38&lt;=0,K38&lt;=0,L38&lt;=0),"缺字段",IF(P38&lt;&gt;"已复核","待复核","通过"))</x:f>
        <x:v>待复核</x:v>
      </x:c>
    </x:row>
    <x:row r="39" ht="36" customHeight="1">
      <x:c r="A39" s="19" t="str">
        <x:v>HAUS-CHAIR-005</x:v>
      </x:c>
      <x:c r="B39" s="19" t="str">
        <x:v>焦糖皮中古餐椅</x:v>
      </x:c>
      <x:c r="C39" s="19" t="str">
        <x:v>餐椅</x:v>
      </x:c>
      <x:c r="D39" s="19" t="str">
        <x:v>餐厅</x:v>
      </x:c>
      <x:c r="E39" s="19" t="str">
        <x:v>中古风</x:v>
      </x:c>
      <x:c r="F39" s="28" t="str">
        <x:v>黑胡桃木</x:v>
      </x:c>
      <x:c r="G39" s="22" t="n">
        <x:v>780</x:v>
      </x:c>
      <x:c r="H39" s="22" t="n">
        <x:v>1180</x:v>
      </x:c>
      <x:c r="I39" s="28" t="str">
        <x:v>宽485×深550×高790mm</x:v>
      </x:c>
      <x:c r="J39" s="25" t="n">
        <x:v>485</x:v>
      </x:c>
      <x:c r="K39" s="25" t="n">
        <x:v>550</x:v>
      </x:c>
      <x:c r="L39" s="25" t="n">
        <x:v>790</x:v>
      </x:c>
      <x:c r="M39" s="28" t="str">
        <x:v>真实尺寸参数建模，黑胡桃木材质</x:v>
      </x:c>
      <x:c r="N39" s="28" t="str">
        <x:v>可选同类型其他参数款</x:v>
      </x:c>
      <x:c r="O39" s="19" t="str">
        <x:v>是</x:v>
      </x:c>
      <x:c r="P39" s="19" t="str">
        <x:v>待复核</x:v>
      </x:c>
      <x:c r="Q39" s="28" t="str">
        <x:v>内部参考零售价，待人工复核；不含配送、安装和选配费用。</x:v>
      </x:c>
      <x:c r="R39" s="34" t="str">
        <x:v>merchant_draft</x:v>
      </x:c>
      <x:c r="S39" s="34" t="str">
        <x:v>missing</x:v>
      </x:c>
      <x:c r="T39" s="19" t="str">
        <x:f>IF(OR(B39="",C39="",D39="",E39="",F39="",G39&lt;=0,I39="",J39&lt;=0,K39&lt;=0,L39&lt;=0),"缺字段",IF(P39&lt;&gt;"已复核","待复核","通过"))</x:f>
        <x:v>待复核</x:v>
      </x:c>
    </x:row>
    <x:row r="40" ht="36" customHeight="1">
      <x:c r="A40" s="19" t="str">
        <x:v>HAUS-CHAIR-006</x:v>
      </x:c>
      <x:c r="B40" s="19" t="str">
        <x:v>奶油白软包餐椅</x:v>
      </x:c>
      <x:c r="C40" s="19" t="str">
        <x:v>餐椅</x:v>
      </x:c>
      <x:c r="D40" s="19" t="str">
        <x:v>餐厅</x:v>
      </x:c>
      <x:c r="E40" s="19" t="str">
        <x:v>现代奶油风</x:v>
      </x:c>
      <x:c r="F40" s="28" t="str">
        <x:v>奶油白短绒布</x:v>
      </x:c>
      <x:c r="G40" s="22" t="n">
        <x:v>680</x:v>
      </x:c>
      <x:c r="H40" s="22" t="n">
        <x:v>980</x:v>
      </x:c>
      <x:c r="I40" s="28" t="str">
        <x:v>宽500×深560×高800mm</x:v>
      </x:c>
      <x:c r="J40" s="25" t="n">
        <x:v>500</x:v>
      </x:c>
      <x:c r="K40" s="25" t="n">
        <x:v>560</x:v>
      </x:c>
      <x:c r="L40" s="25" t="n">
        <x:v>800</x:v>
      </x:c>
      <x:c r="M40" s="28" t="str">
        <x:v>真实尺寸参数建模，奶油白短绒布材质</x:v>
      </x:c>
      <x:c r="N40" s="28" t="str">
        <x:v>可选同类型其他参数款</x:v>
      </x:c>
      <x:c r="O40" s="19" t="str">
        <x:v>是</x:v>
      </x:c>
      <x:c r="P40" s="19" t="str">
        <x:v>待复核</x:v>
      </x:c>
      <x:c r="Q40" s="28" t="str">
        <x:v>内部参考零售价，待人工复核；不含配送、安装和选配费用。</x:v>
      </x:c>
      <x:c r="R40" s="34" t="str">
        <x:v>merchant_draft</x:v>
      </x:c>
      <x:c r="S40" s="34" t="str">
        <x:v>missing</x:v>
      </x:c>
      <x:c r="T40" s="19" t="str">
        <x:f>IF(OR(B40="",C40="",D40="",E40="",F40="",G40&lt;=0,I40="",J40&lt;=0,K40&lt;=0,L40&lt;=0),"缺字段",IF(P40&lt;&gt;"已复核","待复核","通过"))</x:f>
        <x:v>待复核</x:v>
      </x:c>
    </x:row>
    <x:row r="41" ht="36" customHeight="1">
      <x:c r="A41" s="20" t="str">
        <x:v>HAUS-CHAIR-007</x:v>
      </x:c>
      <x:c r="B41" s="20" t="str">
        <x:v>黑色极简悬臂餐椅</x:v>
      </x:c>
      <x:c r="C41" s="20" t="str">
        <x:v>餐椅</x:v>
      </x:c>
      <x:c r="D41" s="20" t="str">
        <x:v>餐厅</x:v>
      </x:c>
      <x:c r="E41" s="20" t="str">
        <x:v>现代极简</x:v>
      </x:c>
      <x:c r="F41" s="29" t="str">
        <x:v>黑色喷粉钢</x:v>
      </x:c>
      <x:c r="G41" s="23" t="n">
        <x:v>620</x:v>
      </x:c>
      <x:c r="H41" s="23" t="n">
        <x:v>920</x:v>
      </x:c>
      <x:c r="I41" s="29" t="str">
        <x:v>宽470×深550×高800mm</x:v>
      </x:c>
      <x:c r="J41" s="26" t="n">
        <x:v>470</x:v>
      </x:c>
      <x:c r="K41" s="26" t="n">
        <x:v>550</x:v>
      </x:c>
      <x:c r="L41" s="26" t="n">
        <x:v>800</x:v>
      </x:c>
      <x:c r="M41" s="29" t="str">
        <x:v>真实尺寸参数建模，黑色喷粉钢材质</x:v>
      </x:c>
      <x:c r="N41" s="29" t="str">
        <x:v>可选同类型其他参数款</x:v>
      </x:c>
      <x:c r="O41" s="20" t="str">
        <x:v>是</x:v>
      </x:c>
      <x:c r="P41" s="20" t="str">
        <x:v>待复核</x:v>
      </x:c>
      <x:c r="Q41" s="29" t="str">
        <x:v>内部参考零售价，待人工复核；不含配送、安装和选配费用。</x:v>
      </x:c>
      <x:c r="R41" s="35" t="str">
        <x:v>merchant_draft</x:v>
      </x:c>
      <x:c r="S41" s="35" t="str">
        <x:v>missing</x:v>
      </x:c>
      <x:c r="T41" s="20" t="str">
        <x:f>IF(OR(B41="",C41="",D41="",E41="",F41="",G41&lt;=0,I41="",J41&lt;=0,K41&lt;=0,L41&lt;=0),"缺字段",IF(P41&lt;&gt;"已复核","待复核","通过"))</x:f>
        <x:v>待复核</x:v>
      </x:c>
    </x:row>
  </x:sheetData>
  <x:conditionalFormatting sqref="G2:L41">
    <x:cfRule type="cellIs" dxfId="0" priority="1" operator="lessThanOrEqual">
      <x:formula>0</x:formula>
    </x:cfRule>
  </x:conditionalFormatting>
  <x:conditionalFormatting sqref="T2:T41">
    <x:cfRule type="containsText" dxfId="1" priority="2" operator="containsText" text="缺字段"/>
    <x:cfRule type="containsText" dxfId="2" priority="3" operator="containsText" text="待复核"/>
    <x:cfRule type="containsText" dxfId="3" priority="4" operator="containsText" text="通过"/>
  </x:conditionalFormatting>
  <x:dataValidations count="3">
    <x:dataValidation type="list" sqref="D2:D41">
      <x:formula1>"客厅,卧室,餐厅,书房"</x:formula1>
    </x:dataValidation>
    <x:dataValidation type="list" sqref="O2:O41">
      <x:formula1>"是,否"</x:formula1>
    </x:dataValidation>
    <x:dataValidation type="list" sqref="P2:P41">
      <x:formula1>"待复核,已复核"</x:formula1>
    </x:dataValidation>
  </x:dataValidations>
  <x:pageMargins left="0.7" right="0.7" top="0.75" bottom="0.75" header="0.3" footer="0.3"/>
  <x:legacyDrawing xmlns:r="http://schemas.openxmlformats.org/officeDocument/2006/relationships" r:id="R7bb39894ec85439b"/>
  <x:tableParts count="1">
    <x:tablePart xmlns:r="http://schemas.openxmlformats.org/officeDocument/2006/relationships" r:id="R137c53981bc14c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30" hidden="0" customWidth="1"/>
    <x:col min="4" max="4" width="28" hidden="0" customWidth="1"/>
    <x:col min="5" max="5" width="32" hidden="0" customWidth="1"/>
  </x:cols>
  <x:sheetData>
    <x:row r="1" ht="32" customHeight="1">
      <x:c r="A1" s="38" t="str">
        <x:v>字段</x:v>
      </x:c>
      <x:c r="B1" s="38" t="str">
        <x:v>必填</x:v>
      </x:c>
      <x:c r="C1" s="38" t="str">
        <x:v>用途</x:v>
      </x:c>
      <x:c r="D1" s="38" t="str">
        <x:v>示例</x:v>
      </x:c>
      <x:c r="E1" s="38" t="str">
        <x:v>回写规则</x:v>
      </x:c>
    </x:row>
    <x:row r="2" ht="32" customHeight="1">
      <x:c r="A2" s="42" t="str">
        <x:v>sku</x:v>
      </x:c>
      <x:c r="B2" s="42" t="str">
        <x:v>是</x:v>
      </x:c>
      <x:c r="C2" s="42" t="str">
        <x:v>商品唯一标识，禁止重复</x:v>
      </x:c>
      <x:c r="D2" s="42" t="str">
        <x:v>SF-001</x:v>
      </x:c>
      <x:c r="E2" s="42" t="str">
        <x:v>按 SKU 新增或更新</x:v>
      </x:c>
    </x:row>
    <x:row r="3" ht="32" customHeight="1">
      <x:c r="A3" s="43" t="str">
        <x:v>名称</x:v>
      </x:c>
      <x:c r="B3" s="43" t="str">
        <x:v>是</x:v>
      </x:c>
      <x:c r="C3" s="43" t="str">
        <x:v>面向用户的商品名称</x:v>
      </x:c>
      <x:c r="D3" s="43" t="str">
        <x:v>云朵感三人位布艺沙发</x:v>
      </x:c>
      <x:c r="E3" s="43" t="str">
        <x:v>覆盖商品名称</x:v>
      </x:c>
    </x:row>
    <x:row r="4" ht="32" customHeight="1">
      <x:c r="A4" s="43" t="str">
        <x:v>类别</x:v>
      </x:c>
      <x:c r="B4" s="43" t="str">
        <x:v>是</x:v>
      </x:c>
      <x:c r="C4" s="43" t="str">
        <x:v>商品筛选和报价分类</x:v>
      </x:c>
      <x:c r="D4" s="43" t="str">
        <x:v>沙发</x:v>
      </x:c>
      <x:c r="E4" s="43" t="str">
        <x:v>覆盖类别</x:v>
      </x:c>
    </x:row>
    <x:row r="5" ht="32" customHeight="1">
      <x:c r="A5" s="43" t="str">
        <x:v>空间</x:v>
      </x:c>
      <x:c r="B5" s="43" t="str">
        <x:v>是</x:v>
      </x:c>
      <x:c r="C5" s="43" t="str">
        <x:v>推荐使用空间</x:v>
      </x:c>
      <x:c r="D5" s="43" t="str">
        <x:v>客厅</x:v>
      </x:c>
      <x:c r="E5" s="43" t="str">
        <x:v>仅允许客厅/卧室/餐厅/书房</x:v>
      </x:c>
    </x:row>
    <x:row r="6" ht="32" customHeight="1">
      <x:c r="A6" s="43" t="str">
        <x:v>风格</x:v>
      </x:c>
      <x:c r="B6" s="43" t="str">
        <x:v>是</x:v>
      </x:c>
      <x:c r="C6" s="43" t="str">
        <x:v>方案匹配标签</x:v>
      </x:c>
      <x:c r="D6" s="43" t="str">
        <x:v>现代简约</x:v>
      </x:c>
      <x:c r="E6" s="43" t="str">
        <x:v>覆盖风格</x:v>
      </x:c>
    </x:row>
    <x:row r="7" ht="32" customHeight="1">
      <x:c r="A7" s="43" t="str">
        <x:v>材质</x:v>
      </x:c>
      <x:c r="B7" s="43" t="str">
        <x:v>是</x:v>
      </x:c>
      <x:c r="C7" s="43" t="str">
        <x:v>主要外观和结构材料</x:v>
      </x:c>
      <x:c r="D7" s="43" t="str">
        <x:v>聚酯纤维、实木框架</x:v>
      </x:c>
      <x:c r="E7" s="43" t="str">
        <x:v>覆盖材料</x:v>
      </x:c>
    </x:row>
    <x:row r="8" ht="32" customHeight="1">
      <x:c r="A8" s="43" t="str">
        <x:v>参考价</x:v>
      </x:c>
      <x:c r="B8" s="43" t="str">
        <x:v>是</x:v>
      </x:c>
      <x:c r="C8" s="43" t="str">
        <x:v>内部参考零售价，单位元</x:v>
      </x:c>
      <x:c r="D8" s="43" t="str">
        <x:v>4999</x:v>
      </x:c>
      <x:c r="E8" s="43" t="str">
        <x:v>正整数</x:v>
      </x:c>
    </x:row>
    <x:row r="9" ht="32" customHeight="1">
      <x:c r="A9" s="43" t="str">
        <x:v>价格上限</x:v>
      </x:c>
      <x:c r="B9" s="43" t="str">
        <x:v>否</x:v>
      </x:c>
      <x:c r="C9" s="43" t="str">
        <x:v>选配或大规格价格上限</x:v>
      </x:c>
      <x:c r="D9" s="43" t="str">
        <x:v>6999</x:v>
      </x:c>
      <x:c r="E9" s="43" t="str">
        <x:v>可留空或填正整数</x:v>
      </x:c>
    </x:row>
    <x:row r="10" ht="32" customHeight="1">
      <x:c r="A10" s="43" t="str">
        <x:v>尺寸</x:v>
      </x:c>
      <x:c r="B10" s="43" t="str">
        <x:v>是</x:v>
      </x:c>
      <x:c r="C10" s="43" t="str">
        <x:v>人工可读尺寸说明</x:v>
      </x:c>
      <x:c r="D10" s="43" t="str">
        <x:v>宽2380×深980×高760mm</x:v>
      </x:c>
      <x:c r="E10" s="43" t="str">
        <x:v>覆盖尺寸文案</x:v>
      </x:c>
    </x:row>
    <x:row r="11" ht="32" customHeight="1">
      <x:c r="A11" s="43" t="str">
        <x:v>宽/深/高(mm)</x:v>
      </x:c>
      <x:c r="B11" s="43" t="str">
        <x:v>是</x:v>
      </x:c>
      <x:c r="C11" s="43" t="str">
        <x:v>场景摆放和 3D 比例</x:v>
      </x:c>
      <x:c r="D11" s="43" t="str">
        <x:v>2380 / 980 / 760</x:v>
      </x:c>
      <x:c r="E11" s="43" t="str">
        <x:v>均需为正整数</x:v>
      </x:c>
    </x:row>
    <x:row r="12" ht="32" customHeight="1">
      <x:c r="A12" s="43" t="str">
        <x:v>卖点</x:v>
      </x:c>
      <x:c r="B12" s="43" t="str">
        <x:v>否</x:v>
      </x:c>
      <x:c r="C12" s="43" t="str">
        <x:v>商品卡推荐理由</x:v>
      </x:c>
      <x:c r="D12" s="43" t="str">
        <x:v>耐磨易清洁</x:v>
      </x:c>
      <x:c r="E12" s="43" t="str">
        <x:v>覆盖卖点</x:v>
      </x:c>
    </x:row>
    <x:row r="13" ht="32" customHeight="1">
      <x:c r="A13" s="43" t="str">
        <x:v>替代选择</x:v>
      </x:c>
      <x:c r="B13" s="43" t="str">
        <x:v>否</x:v>
      </x:c>
      <x:c r="C13" s="43" t="str">
        <x:v>同类替代建议</x:v>
      </x:c>
      <x:c r="D13" s="43" t="str">
        <x:v>双人位版本</x:v>
      </x:c>
      <x:c r="E13" s="43" t="str">
        <x:v>覆盖替代建议</x:v>
      </x:c>
    </x:row>
    <x:row r="14" ht="32" customHeight="1">
      <x:c r="A14" s="43" t="str">
        <x:v>启用状态</x:v>
      </x:c>
      <x:c r="B14" s="43" t="str">
        <x:v>是</x:v>
      </x:c>
      <x:c r="C14" s="43" t="str">
        <x:v>是否进入活动商品目录</x:v>
      </x:c>
      <x:c r="D14" s="43" t="str">
        <x:v>是</x:v>
      </x:c>
      <x:c r="E14" s="43" t="str">
        <x:v>仅允许是/否</x:v>
      </x:c>
    </x:row>
    <x:row r="15" ht="32" customHeight="1">
      <x:c r="A15" s="43" t="str">
        <x:v>人工复核状态</x:v>
      </x:c>
      <x:c r="B15" s="43" t="str">
        <x:v>是</x:v>
      </x:c>
      <x:c r="C15" s="43" t="str">
        <x:v>标识是否已经人工确认</x:v>
      </x:c>
      <x:c r="D15" s="43" t="str">
        <x:v>待复核</x:v>
      </x:c>
      <x:c r="E15" s="43" t="str">
        <x:v>仅允许待复核/已复核</x:v>
      </x:c>
    </x:row>
    <x:row r="16" ht="32" customHeight="1">
      <x:c r="A16" s="43" t="str">
        <x:v>价格备注</x:v>
      </x:c>
      <x:c r="B16" s="43" t="str">
        <x:v>否</x:v>
      </x:c>
      <x:c r="C16" s="43" t="str">
        <x:v>价格口径和例外说明</x:v>
      </x:c>
      <x:c r="D16" s="43" t="str">
        <x:v>不含配送安装</x:v>
      </x:c>
      <x:c r="E16" s="43" t="str">
        <x:v>覆盖价格备注</x:v>
      </x:c>
    </x:row>
    <x:row r="17" ht="32" customHeight="1">
      <x:c r="A17" s="43" t="str">
        <x:v>数据来源</x:v>
      </x:c>
      <x:c r="B17" s="43" t="str">
        <x:v>只读</x:v>
      </x:c>
      <x:c r="C17" s="43" t="str">
        <x:v>商品来源类型</x:v>
      </x:c>
      <x:c r="D17" s="43" t="str">
        <x:v>merchant_draft</x:v>
      </x:c>
      <x:c r="E17" s="43" t="str">
        <x:v>回写时由系统维护</x:v>
      </x:c>
    </x:row>
    <x:row r="18" ht="32" customHeight="1">
      <x:c r="A18" s="43" t="str">
        <x:v>3D状态</x:v>
      </x:c>
      <x:c r="B18" s="43" t="str">
        <x:v>只读</x:v>
      </x:c>
      <x:c r="C18" s="43" t="str">
        <x:v>现有模型资产状态</x:v>
      </x:c>
      <x:c r="D18" s="43" t="str">
        <x:v>ready</x:v>
      </x:c>
      <x:c r="E18" s="43" t="str">
        <x:v>回写时不修改</x:v>
      </x:c>
    </x:row>
    <x:row r="19" ht="32" customHeight="1">
      <x:c r="A19" s="44" t="str">
        <x:v>完整性检查</x:v>
      </x:c>
      <x:c r="B19" s="44" t="str">
        <x:v>公式</x:v>
      </x:c>
      <x:c r="C19" s="44" t="str">
        <x:v>检查必填字段和复核状态</x:v>
      </x:c>
      <x:c r="D19" s="44" t="str">
        <x:v>待复核</x:v>
      </x:c>
      <x:c r="E19" s="44" t="str">
        <x:v>不要手工修改公式</x:v>
      </x:c>
    </x:row>
  </x:sheetData>
  <x:pageMargins left="0.7" right="0.7" top="0.75" bottom="0.75" header="0.3" footer="0.3"/>
  <x:tableParts count="1">
    <x:tablePart xmlns:r="http://schemas.openxmlformats.org/officeDocument/2006/relationships" r:id="R25d8db68fd0c47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8" customHeight="1">
      <x:c r="A1" s="47" t="str">
        <x:v>商品主表质量检查</x:v>
      </x:c>
      <x:c r="B1" s="47" t="str">
        <x:v>商品主表质量检查</x:v>
      </x:c>
      <x:c r="C1" s="47" t="str">
        <x:v>商品主表质量检查</x:v>
      </x:c>
      <x:c r="D1" s="47" t="str">
        <x:v>商品主表质量检查</x:v>
      </x:c>
      <x:c r="E1" s="47" t="str">
        <x:v>商品主表质量检查</x:v>
      </x:c>
      <x:c r="F1" s="47" t="str">
        <x:v>商品主表质量检查</x:v>
      </x:c>
    </x:row>
    <x:row r="3">
      <x:c r="A3" s="54" t="str">
        <x:v>商品总数</x:v>
      </x:c>
      <x:c r="B3" s="55" t="n">
        <x:f>COUNTA('商品主表'!$A$2:$A$41)</x:f>
        <x:v>40</x:v>
      </x:c>
    </x:row>
    <x:row r="4">
      <x:c r="A4" s="54" t="str">
        <x:v>待复核</x:v>
      </x:c>
      <x:c r="B4" s="55" t="n">
        <x:f>COUNTIF('商品主表'!$P$2:$P$41,"待复核")</x:f>
        <x:v>40</x:v>
      </x:c>
    </x:row>
    <x:row r="5">
      <x:c r="A5" s="54" t="str">
        <x:v>已复核</x:v>
      </x:c>
      <x:c r="B5" s="55" t="n">
        <x:f>COUNTIF('商品主表'!$P$2:$P$41,"已复核")</x:f>
        <x:v>0</x:v>
      </x:c>
    </x:row>
    <x:row r="6">
      <x:c r="A6" s="54" t="str">
        <x:v>缺字段</x:v>
      </x:c>
      <x:c r="B6" s="55" t="n">
        <x:f>COUNTIF('商品主表'!$T$2:$T$41,"缺字段")</x:f>
        <x:v>0</x:v>
      </x:c>
    </x:row>
    <x:row r="7">
      <x:c r="A7" s="54" t="str">
        <x:v>启用商品</x:v>
      </x:c>
      <x:c r="B7" s="55" t="n">
        <x:f>COUNTIF('商品主表'!$O$2:$O$41,"是")</x:f>
        <x:v>40</x:v>
      </x:c>
    </x:row>
    <x:row r="8">
      <x:c r="A8" s="54" t="str">
        <x:v>参考价合计</x:v>
      </x:c>
      <x:c r="B8" s="56" t="n">
        <x:f>SUM('商品主表'!$G$2:$G$41)</x:f>
        <x:v>106524</x:v>
      </x:c>
    </x:row>
    <x:row r="11">
      <x:c r="A11" s="59" t="str">
        <x:v>空间</x:v>
      </x:c>
      <x:c r="B11" s="59" t="str">
        <x:v>商品数</x:v>
      </x:c>
    </x:row>
    <x:row r="12">
      <x:c r="A12" s="57" t="str">
        <x:v>客厅</x:v>
      </x:c>
      <x:c r="B12" s="57" t="n">
        <x:f>COUNTIF('商品主表'!$D$2:$D$41,A12)</x:f>
        <x:v>15</x:v>
      </x:c>
    </x:row>
    <x:row r="13">
      <x:c r="A13" s="57" t="str">
        <x:v>卧室</x:v>
      </x:c>
      <x:c r="B13" s="57" t="n">
        <x:f>COUNTIF('商品主表'!$D$2:$D$41,A13)</x:f>
        <x:v>9</x:v>
      </x:c>
    </x:row>
    <x:row r="14">
      <x:c r="A14" s="57" t="str">
        <x:v>餐厅</x:v>
      </x:c>
      <x:c r="B14" s="57" t="n">
        <x:f>COUNTIF('商品主表'!$D$2:$D$41,A14)</x:f>
        <x:v>12</x:v>
      </x:c>
    </x:row>
    <x:row r="15">
      <x:c r="A15" s="57" t="str">
        <x:v>书房</x:v>
      </x:c>
      <x:c r="B15" s="57" t="n">
        <x:f>COUNTIF('商品主表'!$D$2:$D$41,A15)</x:f>
        <x:v>4</x:v>
      </x:c>
    </x:row>
    <x:row r="18" ht="48" customHeight="1">
      <x:c r="A18" s="63" t="str">
        <x:v>使用顺序：先在“商品主表”修改 → 将人工复核状态改为“已复核” → 检查本页缺字段为 0 → 使用后端导入命令按 SKU 回写。</x:v>
      </x:c>
      <x:c r="B18" s="63" t="str">
        <x:v>使用顺序：先在“商品主表”修改 → 将人工复核状态改为“已复核” → 检查本页缺字段为 0 → 使用后端导入命令按 SKU 回写。</x:v>
      </x:c>
      <x:c r="C18" s="63" t="str">
        <x:v>使用顺序：先在“商品主表”修改 → 将人工复核状态改为“已复核” → 检查本页缺字段为 0 → 使用后端导入命令按 SKU 回写。</x:v>
      </x:c>
      <x:c r="D18" s="63" t="str">
        <x:v>使用顺序：先在“商品主表”修改 → 将人工复核状态改为“已复核” → 检查本页缺字段为 0 → 使用后端导入命令按 SKU 回写。</x:v>
      </x:c>
      <x:c r="E18" s="63" t="str">
        <x:v>使用顺序：先在“商品主表”修改 → 将人工复核状态改为“已复核” → 检查本页缺字段为 0 → 使用后端导入命令按 SKU 回写。</x:v>
      </x:c>
      <x:c r="F18" s="63" t="str">
        <x:v>使用顺序：先在“商品主表”修改 → 将人工复核状态改为“已复核” → 检查本页缺字段为 0 → 使用后端导入命令按 SKU 回写。</x:v>
      </x:c>
    </x:row>
  </x:sheetData>
  <x:mergeCells>
    <x:mergeCell ref="A1:F1"/>
    <x:mergeCell ref="A18:F18"/>
  </x:mergeCells>
  <x:pageMargins left="0.7" right="0.7" top="0.75" bottom="0.75" header="0.3" footer="0.3"/>
  <x:drawing xmlns:r="http://schemas.openxmlformats.org/officeDocument/2006/relationships" r:id="Ra7d32a782ead4a84"/>
</x:worksheet>
</file>